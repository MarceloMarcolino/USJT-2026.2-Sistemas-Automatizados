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etc\Projetos do Marcelinho\SistemasAutomatizados\tmp\tp03-planilha-qa\"/>
    </mc:Choice>
  </mc:AlternateContent>
  <xr:revisionPtr revIDLastSave="0" documentId="13_ncr:1_{74EF7C2F-1474-4FD6-9CC7-858E732A4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Instrucoes" sheetId="2" r:id="rId2"/>
    <sheet name="Parametros" sheetId="3" r:id="rId3"/>
    <sheet name="Tabela_ES" sheetId="4" r:id="rId4"/>
    <sheet name="Dados_Brutos" sheetId="5" r:id="rId5"/>
    <sheet name="Analise" sheetId="6" r:id="rId6"/>
    <sheet name="Testes_BQ" sheetId="7" r:id="rId7"/>
    <sheet name="Media_Movel" sheetId="8" r:id="rId8"/>
    <sheet name="Calculo_Inverso" sheetId="9" r:id="rId9"/>
    <sheet name="Diagnostico_4_20" sheetId="10" r:id="rId10"/>
  </sheets>
  <definedNames>
    <definedName name="_xlnm.Print_Area" localSheetId="5">Analise!$A$1:$N$19</definedName>
    <definedName name="_xlnm.Print_Area" localSheetId="8">Calculo_Inverso!$A$1:$I$9</definedName>
    <definedName name="_xlnm.Print_Area" localSheetId="4">Dados_Brutos!$A$1:$E$19</definedName>
    <definedName name="_xlnm.Print_Area" localSheetId="9">Diagnostico_4_20!$A$1:$I$11</definedName>
    <definedName name="_xlnm.Print_Area" localSheetId="1">Instrucoes!$A$1:$H$28</definedName>
    <definedName name="_xlnm.Print_Area" localSheetId="7">Media_Movel!$A$1:$H$15</definedName>
    <definedName name="_xlnm.Print_Area" localSheetId="2">Parametros!$A$1:$D$14</definedName>
    <definedName name="_xlnm.Print_Area" localSheetId="0">Resumo!$A$1:$L$35</definedName>
    <definedName name="_xlnm.Print_Area" localSheetId="3">Tabela_ES!$A$1:$G$9</definedName>
    <definedName name="_xlnm.Print_Area" localSheetId="6">Testes_BQ!$A$1:$M$26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C11" i="10"/>
  <c r="H11" i="10" s="1"/>
  <c r="F10" i="10"/>
  <c r="C10" i="10"/>
  <c r="D10" i="10" s="1"/>
  <c r="F9" i="10"/>
  <c r="C9" i="10"/>
  <c r="H9" i="10" s="1"/>
  <c r="F8" i="10"/>
  <c r="C8" i="10"/>
  <c r="H8" i="10" s="1"/>
  <c r="F7" i="10"/>
  <c r="C7" i="10"/>
  <c r="H7" i="10" s="1"/>
  <c r="F6" i="10"/>
  <c r="C6" i="10"/>
  <c r="H6" i="10" s="1"/>
  <c r="F5" i="10"/>
  <c r="C5" i="10"/>
  <c r="H5" i="10" s="1"/>
  <c r="C9" i="9"/>
  <c r="D9" i="9" s="1"/>
  <c r="C8" i="9"/>
  <c r="F8" i="9" s="1"/>
  <c r="H8" i="9" s="1"/>
  <c r="C7" i="9"/>
  <c r="F7" i="9" s="1"/>
  <c r="H7" i="9" s="1"/>
  <c r="C6" i="9"/>
  <c r="D6" i="9" s="1"/>
  <c r="C5" i="9"/>
  <c r="F5" i="9" s="1"/>
  <c r="H5" i="9" s="1"/>
  <c r="C15" i="8"/>
  <c r="E15" i="8" s="1"/>
  <c r="F15" i="8" s="1"/>
  <c r="C14" i="8"/>
  <c r="E14" i="8" s="1"/>
  <c r="F14" i="8" s="1"/>
  <c r="C13" i="8"/>
  <c r="E13" i="8" s="1"/>
  <c r="F13" i="8" s="1"/>
  <c r="C12" i="8"/>
  <c r="E12" i="8" s="1"/>
  <c r="F12" i="8" s="1"/>
  <c r="C11" i="8"/>
  <c r="E11" i="8" s="1"/>
  <c r="F11" i="8" s="1"/>
  <c r="C10" i="8"/>
  <c r="G10" i="8" s="1"/>
  <c r="H10" i="8" s="1"/>
  <c r="C9" i="8"/>
  <c r="G9" i="8" s="1"/>
  <c r="H9" i="8" s="1"/>
  <c r="C8" i="8"/>
  <c r="G8" i="8" s="1"/>
  <c r="H8" i="8" s="1"/>
  <c r="C7" i="8"/>
  <c r="G7" i="8" s="1"/>
  <c r="H7" i="8" s="1"/>
  <c r="C6" i="8"/>
  <c r="G6" i="8" s="1"/>
  <c r="H6" i="8" s="1"/>
  <c r="C5" i="8"/>
  <c r="G5" i="8" s="1"/>
  <c r="H5" i="8" s="1"/>
  <c r="C26" i="7"/>
  <c r="H26" i="7" s="1"/>
  <c r="C25" i="7"/>
  <c r="I25" i="7" s="1"/>
  <c r="K25" i="7" s="1"/>
  <c r="C24" i="7"/>
  <c r="H24" i="7" s="1"/>
  <c r="C23" i="7"/>
  <c r="I23" i="7" s="1"/>
  <c r="K23" i="7" s="1"/>
  <c r="C22" i="7"/>
  <c r="H22" i="7" s="1"/>
  <c r="C21" i="7"/>
  <c r="I21" i="7" s="1"/>
  <c r="K21" i="7" s="1"/>
  <c r="C20" i="7"/>
  <c r="H20" i="7" s="1"/>
  <c r="C19" i="7"/>
  <c r="I19" i="7" s="1"/>
  <c r="K19" i="7" s="1"/>
  <c r="C18" i="7"/>
  <c r="H18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N19" i="6"/>
  <c r="M19" i="6"/>
  <c r="C19" i="6"/>
  <c r="D19" i="6" s="1"/>
  <c r="B19" i="6"/>
  <c r="A19" i="6"/>
  <c r="N18" i="6"/>
  <c r="M18" i="6"/>
  <c r="C18" i="6"/>
  <c r="D18" i="6" s="1"/>
  <c r="B18" i="6"/>
  <c r="A18" i="6"/>
  <c r="N17" i="6"/>
  <c r="M17" i="6"/>
  <c r="C17" i="6"/>
  <c r="D17" i="6" s="1"/>
  <c r="B17" i="6"/>
  <c r="A17" i="6"/>
  <c r="N16" i="6"/>
  <c r="M16" i="6"/>
  <c r="C16" i="6"/>
  <c r="B16" i="6"/>
  <c r="A16" i="6"/>
  <c r="N15" i="6"/>
  <c r="M15" i="6"/>
  <c r="C15" i="6"/>
  <c r="D15" i="6" s="1"/>
  <c r="B15" i="6"/>
  <c r="A15" i="6"/>
  <c r="N14" i="6"/>
  <c r="M14" i="6"/>
  <c r="C14" i="6"/>
  <c r="D14" i="6" s="1"/>
  <c r="B14" i="6"/>
  <c r="A14" i="6"/>
  <c r="N13" i="6"/>
  <c r="M13" i="6"/>
  <c r="C13" i="6"/>
  <c r="B13" i="6"/>
  <c r="A13" i="6"/>
  <c r="N12" i="6"/>
  <c r="M12" i="6"/>
  <c r="C12" i="6"/>
  <c r="B12" i="6"/>
  <c r="A12" i="6"/>
  <c r="N11" i="6"/>
  <c r="M11" i="6"/>
  <c r="C11" i="6"/>
  <c r="D11" i="6" s="1"/>
  <c r="F11" i="6" s="1"/>
  <c r="B11" i="6"/>
  <c r="A11" i="6"/>
  <c r="N10" i="6"/>
  <c r="M10" i="6"/>
  <c r="C10" i="6"/>
  <c r="D10" i="6" s="1"/>
  <c r="B10" i="6"/>
  <c r="A10" i="6"/>
  <c r="N9" i="6"/>
  <c r="M9" i="6"/>
  <c r="C9" i="6"/>
  <c r="D9" i="6" s="1"/>
  <c r="B9" i="6"/>
  <c r="A9" i="6"/>
  <c r="N8" i="6"/>
  <c r="M8" i="6"/>
  <c r="C8" i="6"/>
  <c r="B8" i="6"/>
  <c r="A8" i="6"/>
  <c r="N7" i="6"/>
  <c r="M7" i="6"/>
  <c r="C7" i="6"/>
  <c r="D7" i="6" s="1"/>
  <c r="G7" i="6" s="1"/>
  <c r="B7" i="6"/>
  <c r="A7" i="6"/>
  <c r="N6" i="6"/>
  <c r="M6" i="6"/>
  <c r="C6" i="6"/>
  <c r="B6" i="6"/>
  <c r="A6" i="6"/>
  <c r="N5" i="6"/>
  <c r="M5" i="6"/>
  <c r="C5" i="6"/>
  <c r="B5" i="6"/>
  <c r="A5" i="6"/>
  <c r="J8" i="6" l="1"/>
  <c r="K8" i="6" s="1"/>
  <c r="L8" i="6" s="1"/>
  <c r="E9" i="9"/>
  <c r="G9" i="9" s="1"/>
  <c r="F24" i="7"/>
  <c r="G13" i="8"/>
  <c r="H13" i="8" s="1"/>
  <c r="G12" i="8"/>
  <c r="H12" i="8" s="1"/>
  <c r="G24" i="7"/>
  <c r="D5" i="9"/>
  <c r="E5" i="9"/>
  <c r="G5" i="9" s="1"/>
  <c r="I5" i="9" s="1"/>
  <c r="D6" i="10"/>
  <c r="I6" i="10" s="1"/>
  <c r="J15" i="6"/>
  <c r="K15" i="6" s="1"/>
  <c r="L15" i="6" s="1"/>
  <c r="E18" i="7"/>
  <c r="D12" i="6"/>
  <c r="E12" i="6" s="1"/>
  <c r="F18" i="7"/>
  <c r="J7" i="6"/>
  <c r="K7" i="6" s="1"/>
  <c r="L7" i="6" s="1"/>
  <c r="G18" i="7"/>
  <c r="E22" i="7"/>
  <c r="A5" i="1"/>
  <c r="E9" i="8"/>
  <c r="F9" i="8" s="1"/>
  <c r="G15" i="6"/>
  <c r="E15" i="6"/>
  <c r="H15" i="6"/>
  <c r="I15" i="6" s="1"/>
  <c r="D7" i="10"/>
  <c r="I7" i="10" s="1"/>
  <c r="E26" i="7"/>
  <c r="G11" i="8"/>
  <c r="H11" i="8" s="1"/>
  <c r="E6" i="9"/>
  <c r="G6" i="9" s="1"/>
  <c r="E20" i="7"/>
  <c r="F26" i="7"/>
  <c r="F6" i="9"/>
  <c r="H6" i="9" s="1"/>
  <c r="F20" i="7"/>
  <c r="G26" i="7"/>
  <c r="G20" i="7"/>
  <c r="D7" i="9"/>
  <c r="J19" i="6"/>
  <c r="K19" i="6" s="1"/>
  <c r="L19" i="6" s="1"/>
  <c r="J16" i="6"/>
  <c r="K16" i="6" s="1"/>
  <c r="L16" i="6" s="1"/>
  <c r="E6" i="8"/>
  <c r="F6" i="8" s="1"/>
  <c r="I10" i="10"/>
  <c r="G11" i="6"/>
  <c r="F22" i="7"/>
  <c r="E7" i="8"/>
  <c r="F7" i="8" s="1"/>
  <c r="G14" i="8"/>
  <c r="H14" i="8" s="1"/>
  <c r="F9" i="9"/>
  <c r="H9" i="9" s="1"/>
  <c r="I9" i="9" s="1"/>
  <c r="H10" i="10"/>
  <c r="H11" i="6"/>
  <c r="I11" i="6" s="1"/>
  <c r="G22" i="7"/>
  <c r="E8" i="8"/>
  <c r="F8" i="8" s="1"/>
  <c r="G15" i="8"/>
  <c r="H15" i="8" s="1"/>
  <c r="D5" i="10"/>
  <c r="I5" i="10" s="1"/>
  <c r="D11" i="10"/>
  <c r="I11" i="10" s="1"/>
  <c r="E7" i="6"/>
  <c r="H7" i="6"/>
  <c r="I7" i="6" s="1"/>
  <c r="J9" i="6"/>
  <c r="K9" i="6" s="1"/>
  <c r="L9" i="6" s="1"/>
  <c r="J17" i="6"/>
  <c r="K17" i="6" s="1"/>
  <c r="L17" i="6" s="1"/>
  <c r="D13" i="6"/>
  <c r="G13" i="6" s="1"/>
  <c r="D5" i="6"/>
  <c r="E5" i="6" s="1"/>
  <c r="J11" i="6"/>
  <c r="K11" i="6" s="1"/>
  <c r="L11" i="6" s="1"/>
  <c r="E24" i="7"/>
  <c r="H9" i="6"/>
  <c r="I9" i="6" s="1"/>
  <c r="G9" i="6"/>
  <c r="F9" i="6"/>
  <c r="E9" i="6"/>
  <c r="H17" i="6"/>
  <c r="I17" i="6" s="1"/>
  <c r="G17" i="6"/>
  <c r="F17" i="6"/>
  <c r="E17" i="6"/>
  <c r="H14" i="6"/>
  <c r="I14" i="6" s="1"/>
  <c r="G14" i="6"/>
  <c r="E14" i="6"/>
  <c r="F14" i="6"/>
  <c r="H18" i="6"/>
  <c r="I18" i="6" s="1"/>
  <c r="G18" i="6"/>
  <c r="F18" i="6"/>
  <c r="E18" i="6"/>
  <c r="H10" i="6"/>
  <c r="I10" i="6" s="1"/>
  <c r="G10" i="6"/>
  <c r="F10" i="6"/>
  <c r="E10" i="6"/>
  <c r="H19" i="6"/>
  <c r="I19" i="6" s="1"/>
  <c r="G19" i="6"/>
  <c r="F19" i="6"/>
  <c r="E19" i="6"/>
  <c r="J6" i="6"/>
  <c r="K6" i="6" s="1"/>
  <c r="L6" i="6" s="1"/>
  <c r="J14" i="6"/>
  <c r="K14" i="6" s="1"/>
  <c r="L14" i="6" s="1"/>
  <c r="I18" i="7"/>
  <c r="K18" i="7" s="1"/>
  <c r="I20" i="7"/>
  <c r="K20" i="7" s="1"/>
  <c r="I22" i="7"/>
  <c r="K22" i="7" s="1"/>
  <c r="I24" i="7"/>
  <c r="K24" i="7" s="1"/>
  <c r="I26" i="7"/>
  <c r="K26" i="7" s="1"/>
  <c r="D8" i="9"/>
  <c r="E11" i="6"/>
  <c r="E8" i="9"/>
  <c r="G8" i="9" s="1"/>
  <c r="I8" i="9" s="1"/>
  <c r="J5" i="6"/>
  <c r="K5" i="6" s="1"/>
  <c r="L5" i="6" s="1"/>
  <c r="J13" i="6"/>
  <c r="K13" i="6" s="1"/>
  <c r="L13" i="6" s="1"/>
  <c r="D9" i="10"/>
  <c r="I9" i="10" s="1"/>
  <c r="J12" i="6"/>
  <c r="K12" i="6" s="1"/>
  <c r="L12" i="6" s="1"/>
  <c r="E19" i="7"/>
  <c r="M19" i="7" s="1"/>
  <c r="E21" i="7"/>
  <c r="M21" i="7" s="1"/>
  <c r="E23" i="7"/>
  <c r="M23" i="7" s="1"/>
  <c r="E25" i="7"/>
  <c r="M25" i="7" s="1"/>
  <c r="E5" i="8"/>
  <c r="F5" i="8" s="1"/>
  <c r="F19" i="7"/>
  <c r="F21" i="7"/>
  <c r="F23" i="7"/>
  <c r="F25" i="7"/>
  <c r="D8" i="6"/>
  <c r="D16" i="6"/>
  <c r="G19" i="7"/>
  <c r="G21" i="7"/>
  <c r="G23" i="7"/>
  <c r="G25" i="7"/>
  <c r="H19" i="7"/>
  <c r="H21" i="7"/>
  <c r="H23" i="7"/>
  <c r="H25" i="7"/>
  <c r="J10" i="6"/>
  <c r="K10" i="6" s="1"/>
  <c r="L10" i="6" s="1"/>
  <c r="J18" i="6"/>
  <c r="K18" i="6" s="1"/>
  <c r="L18" i="6" s="1"/>
  <c r="D6" i="6"/>
  <c r="F7" i="6"/>
  <c r="F15" i="6"/>
  <c r="E7" i="9"/>
  <c r="G7" i="9" s="1"/>
  <c r="I7" i="9" s="1"/>
  <c r="E10" i="8"/>
  <c r="F10" i="8" s="1"/>
  <c r="D8" i="10"/>
  <c r="I8" i="10" s="1"/>
  <c r="G5" i="6" l="1"/>
  <c r="H12" i="6"/>
  <c r="I12" i="6" s="1"/>
  <c r="M22" i="7"/>
  <c r="G12" i="6"/>
  <c r="M24" i="7"/>
  <c r="F5" i="6"/>
  <c r="F12" i="6"/>
  <c r="I6" i="9"/>
  <c r="H13" i="6"/>
  <c r="I13" i="6" s="1"/>
  <c r="F13" i="6"/>
  <c r="E13" i="6"/>
  <c r="H5" i="6"/>
  <c r="I5" i="6" s="1"/>
  <c r="G8" i="6"/>
  <c r="H8" i="6"/>
  <c r="I8" i="6" s="1"/>
  <c r="F8" i="6"/>
  <c r="E8" i="6"/>
  <c r="M20" i="7"/>
  <c r="G16" i="6"/>
  <c r="H16" i="6"/>
  <c r="I16" i="6" s="1"/>
  <c r="F16" i="6"/>
  <c r="E16" i="6"/>
  <c r="G6" i="6"/>
  <c r="E6" i="6"/>
  <c r="F6" i="6"/>
  <c r="H6" i="6"/>
  <c r="I6" i="6" s="1"/>
  <c r="M26" i="7"/>
  <c r="M18" i="7"/>
  <c r="J5" i="1" s="1"/>
  <c r="D5" i="1" l="1"/>
  <c r="G5" i="1"/>
</calcChain>
</file>

<file path=xl/sharedStrings.xml><?xml version="1.0" encoding="utf-8"?>
<sst xmlns="http://schemas.openxmlformats.org/spreadsheetml/2006/main" count="330" uniqueCount="244">
  <si>
    <t>TP03 — Painel de sinais analógicos e digitais</t>
  </si>
  <si>
    <t>Conversão ADC → percentual → 0–100 °C, faixas industriais, decisão e filtragem</t>
  </si>
  <si>
    <t>Amostras</t>
  </si>
  <si>
    <t>Máxima tempC</t>
  </si>
  <si>
    <t>Casos PERIGO</t>
  </si>
  <si>
    <t>Status dos testes</t>
  </si>
  <si>
    <t>Leitura rápida</t>
  </si>
  <si>
    <t>NORMAL</t>
  </si>
  <si>
    <t>0 ≤ pct &lt; 70</t>
  </si>
  <si>
    <t>LED</t>
  </si>
  <si>
    <t>Aceso somente em PERIGO</t>
  </si>
  <si>
    <t>ATENCAO</t>
  </si>
  <si>
    <t>70 ≤ pct &lt; 85</t>
  </si>
  <si>
    <t>Botão</t>
  </si>
  <si>
    <t>Registrado; não altera estado nem LED</t>
  </si>
  <si>
    <t>PERIGO</t>
  </si>
  <si>
    <t>85 ≤ pct ≤ 100</t>
  </si>
  <si>
    <t>DHT22</t>
  </si>
  <si>
    <t>Herdado; fora da lógica do TP03</t>
  </si>
  <si>
    <t>FALHA</t>
  </si>
  <si>
    <t>pct &lt; 0 ou pct &gt; 100 (teste de software)</t>
  </si>
  <si>
    <t>Média móvel</t>
  </si>
  <si>
    <t>Análise adicional; janela de 5 amostras</t>
  </si>
  <si>
    <t>Instruções, rastreabilidade e limitações</t>
  </si>
  <si>
    <t>Como usar</t>
  </si>
  <si>
    <t>1. Registre apenas amostra, botão e ADC bruto em Dados_Brutos.</t>
  </si>
  <si>
    <t>2. Não digite resultados derivados: Analise refaz percentual, tempC, 4–20 mA, 0–10 V, estado, LED e média móvel por fórmula.</t>
  </si>
  <si>
    <t>3. Use Testes_BQ para conferir as oito fronteiras percentuais prescritas e os nove códigos ADC de quantização.</t>
  </si>
  <si>
    <t>4. Media_Movel, Calculo_Inverso e Diagnostico_4_20 documentam os três adicionais.</t>
  </si>
  <si>
    <t>5. O gráfico do Resumo é alimentado pela aba Analise; ao mudar os dados brutos, os resultados e a tendência são atualizados.</t>
  </si>
  <si>
    <t>6. Ao importar no Google Planilhas, preserve as fórmulas e confira o separador decimal da localidade.</t>
  </si>
  <si>
    <t>Fórmulas-base (referência transparente)</t>
  </si>
  <si>
    <t>Cálculo</t>
  </si>
  <si>
    <t>Expressão</t>
  </si>
  <si>
    <t>Percentual</t>
  </si>
  <si>
    <t>pct = (bruto − ADC_MIN) / (ADC_MAX − ADC_MIN) × 100</t>
  </si>
  <si>
    <t>tempC simulada</t>
  </si>
  <si>
    <t>tempC = ENG_MIN + pct/100 × (ENG_MAX − ENG_MIN)</t>
  </si>
  <si>
    <t>4–20 mA</t>
  </si>
  <si>
    <t>mA = MA_MIN + pct/100 × (MA_MAX − MA_MIN)</t>
  </si>
  <si>
    <t>0–10 V</t>
  </si>
  <si>
    <t>V = V_MIN + pct/100 × (V_MAX − V_MIN)</t>
  </si>
  <si>
    <t>Estado</t>
  </si>
  <si>
    <t>FALHA fora de 0–100; PERIGO ≥85; ATENCAO ≥70; senão NORMAL</t>
  </si>
  <si>
    <t>janela = média das cinco últimas amostras disponíveis</t>
  </si>
  <si>
    <t>Inverso 4–20 mA</t>
  </si>
  <si>
    <t>pct = (mA − 4) / 16 × 100</t>
  </si>
  <si>
    <t>Limitações da simulação</t>
  </si>
  <si>
    <t>• Não validam tolerância real do resistor, ruído eletromagnético, aterramento, isolamento ou corrente física de um laço 4–20 mA.</t>
  </si>
  <si>
    <t>• Também não comprovam precisão metrológica, linearidade de sensor, atraso de hardware ou segurança funcional.</t>
  </si>
  <si>
    <t>• O ramo FALHA de percentual é exercitado por injeção de software, pois o ADC normal produz somente 0–1023.</t>
  </si>
  <si>
    <t>• tempC é uma grandeza simulada pelo potenciômetro; não é a leitura do DHT22 instalado no circuito herdado.</t>
  </si>
  <si>
    <t>Rastreabilidade</t>
  </si>
  <si>
    <t>Base: material oficial do TP03 — prática obrigatória e gabarito. Casos B1–B8, Q1–Q9, M1–M11, I1–I5 e G1–G7 conforme a especificação local aprovada.</t>
  </si>
  <si>
    <t>Parâmetros do modelo</t>
  </si>
  <si>
    <t>Parâmetro</t>
  </si>
  <si>
    <t>Valor</t>
  </si>
  <si>
    <t>Unidade</t>
  </si>
  <si>
    <t>Uso</t>
  </si>
  <si>
    <t>ADC_MIN</t>
  </si>
  <si>
    <t>contagem</t>
  </si>
  <si>
    <t>menor código do ADC de 10 bits</t>
  </si>
  <si>
    <t>ADC_MAX</t>
  </si>
  <si>
    <t>maior código do ADC de 10 bits</t>
  </si>
  <si>
    <t>ENG_MIN</t>
  </si>
  <si>
    <t>°C</t>
  </si>
  <si>
    <t>início da faixa simulada</t>
  </si>
  <si>
    <t>ENG_MAX</t>
  </si>
  <si>
    <t>fim da faixa simulada</t>
  </si>
  <si>
    <t>MA_MIN</t>
  </si>
  <si>
    <t>mA</t>
  </si>
  <si>
    <t>início da faixa industrial</t>
  </si>
  <si>
    <t>MA_MAX</t>
  </si>
  <si>
    <t>fim da faixa industrial</t>
  </si>
  <si>
    <t>V_MIN</t>
  </si>
  <si>
    <t>V</t>
  </si>
  <si>
    <t>início da faixa 0–10 V</t>
  </si>
  <si>
    <t>V_MAX</t>
  </si>
  <si>
    <t>fim da faixa 0–10 V</t>
  </si>
  <si>
    <t>LIM_ATENCAO</t>
  </si>
  <si>
    <t>%</t>
  </si>
  <si>
    <t>ATENCAO a partir deste valor</t>
  </si>
  <si>
    <t>LIM_PERIGO</t>
  </si>
  <si>
    <t>PERIGO a partir deste valor</t>
  </si>
  <si>
    <t>JANELA_MM</t>
  </si>
  <si>
    <t>amostras</t>
  </si>
  <si>
    <t>janela da média móvel</t>
  </si>
  <si>
    <t>Tabela de entradas, saídas e variáveis internas</t>
  </si>
  <si>
    <t>Tag</t>
  </si>
  <si>
    <t>Endereço</t>
  </si>
  <si>
    <t>Direção</t>
  </si>
  <si>
    <t>Natureza</t>
  </si>
  <si>
    <t>Faixa/estado</t>
  </si>
  <si>
    <t>Papel</t>
  </si>
  <si>
    <t>Uso no TP03</t>
  </si>
  <si>
    <t>BTN_COMANDO</t>
  </si>
  <si>
    <t>D2</t>
  </si>
  <si>
    <t>Entrada</t>
  </si>
  <si>
    <t>Discreta</t>
  </si>
  <si>
    <t>HIGH/LOW</t>
  </si>
  <si>
    <t>registrar comando manual</t>
  </si>
  <si>
    <t>CSV; não altera estado/LED</t>
  </si>
  <si>
    <t>POT_BRUTO</t>
  </si>
  <si>
    <t>A0</t>
  </si>
  <si>
    <t>Analógica via ADC</t>
  </si>
  <si>
    <t>0–1023</t>
  </si>
  <si>
    <t>adquirir variável simulada</t>
  </si>
  <si>
    <t>fonte do escalonamento</t>
  </si>
  <si>
    <t>TEMP_DHT22</t>
  </si>
  <si>
    <t>D4</t>
  </si>
  <si>
    <t>Digital codificada</t>
  </si>
  <si>
    <t>protocolo DHT</t>
  </si>
  <si>
    <t>componente herdado</t>
  </si>
  <si>
    <t>montado; fora da lógica</t>
  </si>
  <si>
    <t>LED_ALARME</t>
  </si>
  <si>
    <t>D8</t>
  </si>
  <si>
    <t>Saída</t>
  </si>
  <si>
    <t>OFF/ON</t>
  </si>
  <si>
    <t>sinalizar PERIGO</t>
  </si>
  <si>
    <t>ON somente em PERIGO</t>
  </si>
  <si>
    <t>NIVEL_PCT</t>
  </si>
  <si>
    <t>Memória</t>
  </si>
  <si>
    <t>Interna</t>
  </si>
  <si>
    <t>Numérica</t>
  </si>
  <si>
    <t>0–100%</t>
  </si>
  <si>
    <t>normalizar leitura</t>
  </si>
  <si>
    <t>cálculo por fórmula</t>
  </si>
  <si>
    <t>TEMP_SIM_C</t>
  </si>
  <si>
    <t>0–100 °C</t>
  </si>
  <si>
    <t>grandeza de engenharia</t>
  </si>
  <si>
    <t>tempC = pct nesta faixa</t>
  </si>
  <si>
    <t>Amostra</t>
  </si>
  <si>
    <t>Botão (0/1)</t>
  </si>
  <si>
    <t>ADC bruto</t>
  </si>
  <si>
    <t>Origem</t>
  </si>
  <si>
    <t>Observação</t>
  </si>
  <si>
    <t>mínimo</t>
  </si>
  <si>
    <t>25%</t>
  </si>
  <si>
    <t>meia escala</t>
  </si>
  <si>
    <t>subida</t>
  </si>
  <si>
    <t>último NORMAL</t>
  </si>
  <si>
    <t>primeiro ATENCAO</t>
  </si>
  <si>
    <t>referência 75%</t>
  </si>
  <si>
    <t>último ATENCAO</t>
  </si>
  <si>
    <t>primeiro PERIGO</t>
  </si>
  <si>
    <t>faixa de perigo</t>
  </si>
  <si>
    <t>máximo</t>
  </si>
  <si>
    <t>descida em perigo</t>
  </si>
  <si>
    <t>descida em atenção</t>
  </si>
  <si>
    <t>retorno a normal</t>
  </si>
  <si>
    <t>Análise por fórmula — aquisição e escalonamento</t>
  </si>
  <si>
    <t>O estado e o LED usam o valor instantâneo; a média móvel aparece como análise adicional, sem alterar o firmware obrigatório.</t>
  </si>
  <si>
    <t>Percentual (%)</t>
  </si>
  <si>
    <t>tempC simulada (°C)</t>
  </si>
  <si>
    <t>Corrente (mA)</t>
  </si>
  <si>
    <t>Tensão (V)</t>
  </si>
  <si>
    <t>Média ADC (5)</t>
  </si>
  <si>
    <t>Média tempC (°C)</t>
  </si>
  <si>
    <t>Estado filtrado</t>
  </si>
  <si>
    <t>Limite ATENCAO</t>
  </si>
  <si>
    <t>Limite PERIGO</t>
  </si>
  <si>
    <t>Casos de teste — fronteiras B e quantização Q</t>
  </si>
  <si>
    <t>B1–B8 — percentuais injetados (teste de software)</t>
  </si>
  <si>
    <t>Caso</t>
  </si>
  <si>
    <t>Percentual injetado (%)</t>
  </si>
  <si>
    <t>Estado esperado</t>
  </si>
  <si>
    <t>Estado calculado</t>
  </si>
  <si>
    <t>Situação</t>
  </si>
  <si>
    <t>B1</t>
  </si>
  <si>
    <t>B2</t>
  </si>
  <si>
    <t>B3</t>
  </si>
  <si>
    <t>B4</t>
  </si>
  <si>
    <t>B5</t>
  </si>
  <si>
    <t>B6</t>
  </si>
  <si>
    <t>B7</t>
  </si>
  <si>
    <t>B8</t>
  </si>
  <si>
    <t>Q1–Q9 — códigos reais do ADC e transições quantizadas</t>
  </si>
  <si>
    <t>Pct calculado</t>
  </si>
  <si>
    <t>Pct esperado</t>
  </si>
  <si>
    <t>Erro abs.</t>
  </si>
  <si>
    <t>tempC</t>
  </si>
  <si>
    <t>Estado calc.</t>
  </si>
  <si>
    <t>Estado esp.</t>
  </si>
  <si>
    <t>LED calc.</t>
  </si>
  <si>
    <t>LED esp.</t>
  </si>
  <si>
    <t>Q1</t>
  </si>
  <si>
    <t>OFF</t>
  </si>
  <si>
    <t>Q2</t>
  </si>
  <si>
    <t>Q3</t>
  </si>
  <si>
    <t>Q4</t>
  </si>
  <si>
    <t>Q5</t>
  </si>
  <si>
    <t>Q6</t>
  </si>
  <si>
    <t>Q7</t>
  </si>
  <si>
    <t>Q8</t>
  </si>
  <si>
    <t>ON</t>
  </si>
  <si>
    <t>Q9</t>
  </si>
  <si>
    <t>Média móvel — janela de cinco amostras</t>
  </si>
  <si>
    <t>A janela usa todas as amostras disponíveis até M5 e, depois, mantém exatamente cinco valores.</t>
  </si>
  <si>
    <t>Média calculada</t>
  </si>
  <si>
    <t>Média esperada</t>
  </si>
  <si>
    <t>Pct filtrado</t>
  </si>
  <si>
    <t>tempC filtrada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</si>
  <si>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</si>
  <si>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</si>
  <si>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</si>
  <si>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</si>
  <si>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</si>
  <si>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</si>
  <si>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</si>
  <si>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</si>
  <si>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</si>
  <si>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</si>
  <si>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</si>
  <si>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Cálculo inverso — grandeza desejada e sinais industriais</t>
  </si>
  <si>
    <t>As colunas de verificação reconvertem os sinais calculados e devem retornar a temperatura desejada.</t>
  </si>
  <si>
    <t>tempC desejada</t>
  </si>
  <si>
    <t>Pct</t>
  </si>
  <si>
    <t>ADC ideal</t>
  </si>
  <si>
    <t>tempC via mA</t>
  </si>
  <si>
    <t>tempC via V</t>
  </si>
  <si>
    <t>I1</t>
  </si>
  <si>
    <t>I2</t>
  </si>
  <si>
    <t>I3</t>
  </si>
  <si>
    <t>I4</t>
  </si>
  <si>
    <t>I5</t>
  </si>
  <si>
    <t>Diagnóstico elétrico — faixa 4–20 mA</t>
  </si>
  <si>
    <t>O diagnóstico elétrico é avaliado antes do estado de processo; correntes fora de 4–20 mA representam sinal não confiável.</t>
  </si>
  <si>
    <t>Corrente teste (mA)</t>
  </si>
  <si>
    <t>Diagnóstico</t>
  </si>
  <si>
    <t>Diagnóstico esperado</t>
  </si>
  <si>
    <t>V equivalente</t>
  </si>
  <si>
    <t>G1</t>
  </si>
  <si>
    <t>FALHA ELETRICA</t>
  </si>
  <si>
    <t>G2</t>
  </si>
  <si>
    <t>FAIXA VALIDA</t>
  </si>
  <si>
    <t>G3</t>
  </si>
  <si>
    <t>G4</t>
  </si>
  <si>
    <t>G5</t>
  </si>
  <si>
    <t>G6</t>
  </si>
  <si>
    <t>G7</t>
  </si>
  <si>
    <t>código escolhido</t>
  </si>
  <si>
    <t>Dados brutos — amostras de teste</t>
  </si>
  <si>
    <t>• A planilha e a verificação nativa validam cálculos, escalonamento, quantização, transições e documentação; o circuito público no Wokwi foi conferido estruturalmente.</t>
  </si>
  <si>
    <t>Códigos escolhidos para cobrir a faixa e as transições; não são capturas do Monitor Serial.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</si>
</sst>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&quot;°C&quot;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b/>
      <sz val="10"/>
      <color rgb="FFFFFFFF"/>
      <name val="Aptos"/>
    </font>
    <font>
      <sz val="10"/>
      <color rgb="FF243447"/>
      <name val="Aptos"/>
    </font>
    <font>
      <i/>
      <sz val="11"/>
      <color rgb="FF52677D"/>
      <name val="Calibri"/>
    </font>
    <font>
      <i/>
      <sz val="11"/>
      <color rgb="FF52677D"/>
      <name val="Calibri"/>
    </font>
    <font>
      <b/>
      <sz val="10"/>
      <color rgb="FF17365D"/>
      <name val="Aptos"/>
    </font>
    <font>
      <b/>
      <sz val="18"/>
      <color rgb="FF17365D"/>
      <name val="Aptos"/>
    </font>
    <font>
      <b/>
      <sz val="11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2F75B5"/>
      </patternFill>
    </fill>
  </fills>
  <borders count="6">
    <border>
      <left/>
      <right/>
      <top/>
      <bottom/>
      <diagonal/>
    </border>
    <border>
      <left style="thin">
        <color rgb="FFC8D1DA"/>
      </left>
      <right style="thin">
        <color rgb="FFC8D1DA"/>
      </right>
      <top style="medium">
        <color rgb="FF17365D"/>
      </top>
      <bottom style="medium">
        <color rgb="FF17365D"/>
      </bottom>
      <diagonal/>
    </border>
    <border>
      <left style="thin">
        <color rgb="FFC8D1DA"/>
      </left>
      <right style="thin">
        <color rgb="FFC8D1DA"/>
      </right>
      <top style="thin">
        <color rgb="FFC8D1DA"/>
      </top>
      <bottom style="thin">
        <color rgb="FFC8D1DA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5" fillId="0" borderId="0" xfId="0" applyFont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164" fontId="7" fillId="5" borderId="3" xfId="0" applyNumberFormat="1" applyFont="1" applyFill="1" applyBorder="1" applyAlignment="1">
      <alignment horizontal="center" vertical="center" wrapText="1"/>
    </xf>
    <xf numFmtId="1" fontId="7" fillId="5" borderId="3" xfId="0" applyNumberFormat="1" applyFont="1" applyFill="1" applyBorder="1" applyAlignment="1">
      <alignment horizontal="center" vertical="center" wrapText="1"/>
    </xf>
    <xf numFmtId="0" fontId="0" fillId="0" borderId="5" xfId="0" applyBorder="1"/>
    <xf numFmtId="49" fontId="7" fillId="5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34"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FFFFFF"/>
      </font>
      <fill>
        <patternFill patternType="solid">
          <fgColor rgb="FF9C0006"/>
        </patternFill>
      </fill>
    </dxf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274E13"/>
      </font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Tendência da temperatura simulada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Analise!$E$4</c:f>
              <c:strCache>
                <c:ptCount val="1"/>
                <c:pt idx="0">
                  <c:v>tempC simulada (°C)</c:v>
                </c:pt>
              </c:strCache>
            </c:strRef>
          </c:tx>
          <c:spPr>
            <a:ln w="22000">
              <a:solidFill>
                <a:srgbClr val="2F75B5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Analise!$A$5:$A$19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Analise!$E$5:$E$19</c:f>
              <c:numCache>
                <c:formatCode>0.00</c:formatCode>
                <c:ptCount val="15"/>
                <c:pt idx="0">
                  <c:v>0</c:v>
                </c:pt>
                <c:pt idx="1">
                  <c:v>25.024437927663733</c:v>
                </c:pt>
                <c:pt idx="2">
                  <c:v>50.048875855327466</c:v>
                </c:pt>
                <c:pt idx="3">
                  <c:v>63.5386119257087</c:v>
                </c:pt>
                <c:pt idx="4">
                  <c:v>69.990224828934515</c:v>
                </c:pt>
                <c:pt idx="5">
                  <c:v>70.087976539589448</c:v>
                </c:pt>
                <c:pt idx="6">
                  <c:v>75.073313782991207</c:v>
                </c:pt>
                <c:pt idx="7">
                  <c:v>81.133919843597255</c:v>
                </c:pt>
                <c:pt idx="8">
                  <c:v>84.946236559139791</c:v>
                </c:pt>
                <c:pt idx="9">
                  <c:v>85.043988269794724</c:v>
                </c:pt>
                <c:pt idx="10">
                  <c:v>92.864125122189634</c:v>
                </c:pt>
                <c:pt idx="11">
                  <c:v>100</c:v>
                </c:pt>
                <c:pt idx="12">
                  <c:v>87.976539589442808</c:v>
                </c:pt>
                <c:pt idx="13">
                  <c:v>78.201368523949171</c:v>
                </c:pt>
                <c:pt idx="14">
                  <c:v>68.426197458455519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34-49EB-AC21-0F3731F40FF3}"/>
            </c:ext>
          </c:extLst>
        </c:ser>
        <c:ser>
          <c:idx val="1"/>
          <c:order val="1"/>
          <c:tx>
            <c:strRef>
              <c:f>Analise!$K$4</c:f>
              <c:strCache>
                <c:ptCount val="1"/>
                <c:pt idx="0">
                  <c:v>Média tempC (°C)</c:v>
                </c:pt>
              </c:strCache>
            </c:strRef>
          </c:tx>
          <c:spPr>
            <a:ln w="22000">
              <a:solidFill>
                <a:srgbClr val="008C95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Analise!$A$5:$A$19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Analise!$K$5:$K$19</c:f>
              <c:numCache>
                <c:formatCode>0.00</c:formatCode>
                <c:ptCount val="15"/>
                <c:pt idx="0">
                  <c:v>0</c:v>
                </c:pt>
                <c:pt idx="1">
                  <c:v>12.512218963831867</c:v>
                </c:pt>
                <c:pt idx="2">
                  <c:v>25.024437927663733</c:v>
                </c:pt>
                <c:pt idx="3">
                  <c:v>34.652981427174979</c:v>
                </c:pt>
                <c:pt idx="4">
                  <c:v>41.720430107526887</c:v>
                </c:pt>
                <c:pt idx="5">
                  <c:v>55.738025415444767</c:v>
                </c:pt>
                <c:pt idx="6">
                  <c:v>65.747800586510266</c:v>
                </c:pt>
                <c:pt idx="7">
                  <c:v>71.964809384164226</c:v>
                </c:pt>
                <c:pt idx="8">
                  <c:v>76.246334310850443</c:v>
                </c:pt>
                <c:pt idx="9">
                  <c:v>79.257086999022476</c:v>
                </c:pt>
                <c:pt idx="10">
                  <c:v>83.812316715542522</c:v>
                </c:pt>
                <c:pt idx="11">
                  <c:v>88.797653958944281</c:v>
                </c:pt>
                <c:pt idx="12">
                  <c:v>90.166177908113383</c:v>
                </c:pt>
                <c:pt idx="13">
                  <c:v>88.817204301075265</c:v>
                </c:pt>
                <c:pt idx="14">
                  <c:v>85.493646138807435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34-49EB-AC21-0F3731F40FF3}"/>
            </c:ext>
          </c:extLst>
        </c:ser>
        <c:ser>
          <c:idx val="2"/>
          <c:order val="2"/>
          <c:tx>
            <c:strRef>
              <c:f>Analise!$M$4</c:f>
              <c:strCache>
                <c:ptCount val="1"/>
                <c:pt idx="0">
                  <c:v>Limite ATENCAO</c:v>
                </c:pt>
              </c:strCache>
            </c:strRef>
          </c:tx>
          <c:spPr>
            <a:ln w="220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numRef>
              <c:f>Analise!$A$5:$A$19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Analise!$M$5:$M$19</c:f>
              <c:numCache>
                <c:formatCode>0.00</c:formatCode>
                <c:ptCount val="1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534-49EB-AC21-0F3731F40FF3}"/>
            </c:ext>
          </c:extLst>
        </c:ser>
        <c:ser>
          <c:idx val="3"/>
          <c:order val="3"/>
          <c:tx>
            <c:strRef>
              <c:f>Analise!$N$4</c:f>
              <c:strCache>
                <c:ptCount val="1"/>
                <c:pt idx="0">
                  <c:v>Limite PERIGO</c:v>
                </c:pt>
              </c:strCache>
            </c:strRef>
          </c:tx>
          <c:spPr>
            <a:ln w="22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Analise!$A$5:$A$19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Analise!$N$5:$N$19</c:f>
              <c:numCache>
                <c:formatCode>0.00</c:formatCode>
                <c:ptCount val="15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534-49EB-AC21-0F3731F4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Amostra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Temperatura simulada (°C)</a:t>
                </a:r>
              </a:p>
            </c:rich>
          </c:tx>
          <c:overlay val="1"/>
        </c:title>
        <c:numFmt formatCode="0\ &quot;°C&quot;" sourceLinked="0"/>
        <c:majorTickMark val="none"/>
        <c:minorTickMark val="none"/>
        <c:tickLblPos val="nextTo"/>
        <c:crossAx val="10"/>
        <c:crosses val="autoZero"/>
        <c:crossBetween val="between"/>
        <c:majorUnit val="20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828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etrosModelo" displayName="ParametrosModelo" ref="A3:D14">
  <autoFilter ref="A3:D14" xr:uid="{00000000-0009-0000-0100-000001000000}"/>
  <tableColumns count="4">
    <tableColumn id="1" xr3:uid="{00000000-0010-0000-0000-000001000000}" name="Parâmetro"/>
    <tableColumn id="2" xr3:uid="{00000000-0010-0000-0000-000002000000}" name="Valor"/>
    <tableColumn id="3" xr3:uid="{00000000-0010-0000-0000-000003000000}" name="Unidade"/>
    <tableColumn id="4" xr3:uid="{00000000-0010-0000-0000-000004000000}" name="U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ES" displayName="TabelaES" ref="A3:G9">
  <autoFilter ref="A3:G9" xr:uid="{00000000-0009-0000-0100-000002000000}"/>
  <tableColumns count="7">
    <tableColumn id="1" xr3:uid="{00000000-0010-0000-0100-000001000000}" name="Tag"/>
    <tableColumn id="2" xr3:uid="{00000000-0010-0000-0100-000002000000}" name="Endereço"/>
    <tableColumn id="3" xr3:uid="{00000000-0010-0000-0100-000003000000}" name="Direção"/>
    <tableColumn id="4" xr3:uid="{00000000-0010-0000-0100-000004000000}" name="Natureza"/>
    <tableColumn id="5" xr3:uid="{00000000-0010-0000-0100-000005000000}" name="Faixa/estado"/>
    <tableColumn id="6" xr3:uid="{00000000-0010-0000-0100-000006000000}" name="Papel"/>
    <tableColumn id="7" xr3:uid="{00000000-0010-0000-0100-000007000000}" name="Uso no TP0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dosBrutos" displayName="DadosBrutos" ref="A4:E19">
  <autoFilter ref="A4:E19" xr:uid="{00000000-0009-0000-0100-000003000000}"/>
  <tableColumns count="5">
    <tableColumn id="1" xr3:uid="{00000000-0010-0000-0200-000001000000}" name="Amostra"/>
    <tableColumn id="2" xr3:uid="{00000000-0010-0000-0200-000002000000}" name="Botão (0/1)"/>
    <tableColumn id="3" xr3:uid="{00000000-0010-0000-0200-000003000000}" name="ADC bruto"/>
    <tableColumn id="4" xr3:uid="{00000000-0010-0000-0200-000004000000}" name="Origem"/>
    <tableColumn id="5" xr3:uid="{00000000-0010-0000-0200-000005000000}" name="Observ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aliseAmostras" displayName="AnaliseAmostras" ref="A4:N19">
  <autoFilter ref="A4:N19" xr:uid="{00000000-0009-0000-0100-000004000000}"/>
  <tableColumns count="14">
    <tableColumn id="1" xr3:uid="{00000000-0010-0000-0300-000001000000}" name="Amostra"/>
    <tableColumn id="2" xr3:uid="{00000000-0010-0000-0300-000002000000}" name="Botão"/>
    <tableColumn id="3" xr3:uid="{00000000-0010-0000-0300-000003000000}" name="ADC bruto"/>
    <tableColumn id="4" xr3:uid="{00000000-0010-0000-0300-000004000000}" name="Percentual (%)"/>
    <tableColumn id="5" xr3:uid="{00000000-0010-0000-0300-000005000000}" name="tempC simulada (°C)"/>
    <tableColumn id="6" xr3:uid="{00000000-0010-0000-0300-000006000000}" name="Corrente (mA)"/>
    <tableColumn id="7" xr3:uid="{00000000-0010-0000-0300-000007000000}" name="Tensão (V)"/>
    <tableColumn id="8" xr3:uid="{00000000-0010-0000-0300-000008000000}" name="Estado"/>
    <tableColumn id="9" xr3:uid="{00000000-0010-0000-0300-000009000000}" name="LED"/>
    <tableColumn id="10" xr3:uid="{00000000-0010-0000-0300-00000A000000}" name="Média ADC (5)"/>
    <tableColumn id="11" xr3:uid="{00000000-0010-0000-0300-00000B000000}" name="Média tempC (°C)"/>
    <tableColumn id="12" xr3:uid="{00000000-0010-0000-0300-00000C000000}" name="Estado filtrado"/>
    <tableColumn id="13" xr3:uid="{00000000-0010-0000-0300-00000D000000}" name="Limite ATENCAO"/>
    <tableColumn id="14" xr3:uid="{00000000-0010-0000-0300-00000E000000}" name="Limite PERI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diaMovelCasos" displayName="MediaMovelCasos" ref="A4:H15">
  <autoFilter ref="A4:H15" xr:uid="{00000000-0009-0000-0100-000005000000}"/>
  <tableColumns count="8">
    <tableColumn id="1" xr3:uid="{00000000-0010-0000-0400-000001000000}" name="Caso"/>
    <tableColumn id="2" xr3:uid="{00000000-0010-0000-0400-000002000000}" name="ADC bruto"/>
    <tableColumn id="3" xr3:uid="{00000000-0010-0000-0400-000003000000}" name="Média calculada"/>
    <tableColumn id="4" xr3:uid="{00000000-0010-0000-0400-000004000000}" name="Média esperada"/>
    <tableColumn id="5" xr3:uid="{00000000-0010-0000-0400-000005000000}" name="Erro abs."/>
    <tableColumn id="6" xr3:uid="{00000000-0010-0000-0400-000006000000}" name="Situação"/>
    <tableColumn id="7" xr3:uid="{00000000-0010-0000-0400-000007000000}" name="Pct filtrado"/>
    <tableColumn id="8" xr3:uid="{00000000-0010-0000-0400-000008000000}" name="tempC filtrad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lculoInverso" displayName="CalculoInverso" ref="A4:I9">
  <autoFilter ref="A4:I9" xr:uid="{00000000-0009-0000-0100-000006000000}"/>
  <tableColumns count="9">
    <tableColumn id="1" xr3:uid="{00000000-0010-0000-0500-000001000000}" name="Caso"/>
    <tableColumn id="2" xr3:uid="{00000000-0010-0000-0500-000002000000}" name="tempC desejada"/>
    <tableColumn id="3" xr3:uid="{00000000-0010-0000-0500-000003000000}" name="Pct"/>
    <tableColumn id="4" xr3:uid="{00000000-0010-0000-0500-000004000000}" name="ADC ideal"/>
    <tableColumn id="5" xr3:uid="{00000000-0010-0000-0500-000005000000}" name="Corrente (mA)"/>
    <tableColumn id="6" xr3:uid="{00000000-0010-0000-0500-000006000000}" name="Tensão (V)"/>
    <tableColumn id="7" xr3:uid="{00000000-0010-0000-0500-000007000000}" name="tempC via mA"/>
    <tableColumn id="8" xr3:uid="{00000000-0010-0000-0500-000008000000}" name="tempC via V"/>
    <tableColumn id="9" xr3:uid="{00000000-0010-0000-0500-000009000000}" name="Situação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agnostico420" displayName="Diagnostico420" ref="A4:I11">
  <autoFilter ref="A4:I11" xr:uid="{00000000-0009-0000-0100-000007000000}"/>
  <tableColumns count="9">
    <tableColumn id="1" xr3:uid="{00000000-0010-0000-0600-000001000000}" name="Caso"/>
    <tableColumn id="2" xr3:uid="{00000000-0010-0000-0600-000002000000}" name="Corrente teste (mA)"/>
    <tableColumn id="3" xr3:uid="{00000000-0010-0000-0600-000003000000}" name="Pct calculado"/>
    <tableColumn id="4" xr3:uid="{00000000-0010-0000-0600-000004000000}" name="Estado calculado"/>
    <tableColumn id="5" xr3:uid="{00000000-0010-0000-0600-000005000000}" name="Estado esperado"/>
    <tableColumn id="6" xr3:uid="{00000000-0010-0000-0600-000006000000}" name="Diagnóstico"/>
    <tableColumn id="7" xr3:uid="{00000000-0010-0000-0600-000007000000}" name="Diagnóstico esperado"/>
    <tableColumn id="8" xr3:uid="{00000000-0010-0000-0600-000008000000}" name="V equivalente"/>
    <tableColumn id="9" xr3:uid="{00000000-0010-0000-0600-000009000000}" name="Situaç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L35"/>
  <sheetViews>
    <sheetView showGridLines="0" tabSelected="1" zoomScale="90" workbookViewId="0">
      <selection sqref="A1:L1"/>
    </sheetView>
  </sheetViews>
  <sheetFormatPr defaultRowHeight="15" x14ac:dyDescent="0.25"/>
  <cols>
    <col min="1" max="1" width="13" customWidth="1"/>
    <col min="2" max="2" width="24" customWidth="1"/>
    <col min="3" max="4" width="13" customWidth="1"/>
    <col min="5" max="5" width="30" customWidth="1"/>
    <col min="6" max="12" width="13" customWidth="1"/>
  </cols>
  <sheetData>
    <row r="1" spans="1:12" ht="33.950000000000003" customHeight="1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24" customHeight="1" x14ac:dyDescent="0.25">
      <c r="A4" s="5" t="s">
        <v>2</v>
      </c>
      <c r="B4" s="6"/>
      <c r="D4" s="5" t="s">
        <v>3</v>
      </c>
      <c r="E4" s="6"/>
      <c r="G4" s="5" t="s">
        <v>4</v>
      </c>
      <c r="H4" s="6"/>
      <c r="J4" s="5" t="s">
        <v>5</v>
      </c>
      <c r="K4" s="13"/>
      <c r="L4" s="6"/>
    </row>
    <row r="5" spans="1:12" ht="33.950000000000003" customHeight="1" x14ac:dyDescent="0.25">
      <c r="A5" s="12">
        <f>COUNTA(Analise!A5:A19)</f>
        <v>15</v>
      </c>
      <c r="B5" s="8"/>
      <c r="D5" s="11">
        <f>MAX(Analise!E5:E19)</f>
        <v>100</v>
      </c>
      <c r="E5" s="8"/>
      <c r="G5" s="12">
        <f>COUNTIF(Analise!H5:H19,"PERIGO")</f>
        <v>4</v>
      </c>
      <c r="H5" s="8"/>
      <c r="J5" s="14" t="str">
        <f>IF(COUNTIF(Testes_BQ!D5:D12,"REVISAR")+COUNTIF(Testes_BQ!M18:M26,"REVISAR")+COUNTIF(Media_Movel!F5:F15,"REVISAR")+COUNTIF(Calculo_Inverso!I5:I9,"REVISAR")+COUNTIF(Diagnostico_4_20!I5:I11,"REVISAR")=0,"CONFORME","REVISAR")</f>
        <v>CONFORME</v>
      </c>
      <c r="K5" s="8"/>
      <c r="L5" s="8"/>
    </row>
    <row r="6" spans="1:12" ht="9.9499999999999993" customHeight="1" x14ac:dyDescent="0.25">
      <c r="A6" s="8"/>
      <c r="B6" s="8"/>
      <c r="D6" s="8"/>
      <c r="E6" s="8"/>
      <c r="G6" s="8"/>
      <c r="H6" s="8"/>
      <c r="J6" s="8"/>
      <c r="K6" s="8"/>
      <c r="L6" s="8"/>
    </row>
    <row r="31" spans="1:6" ht="21.95" customHeight="1" x14ac:dyDescent="0.25">
      <c r="A31" s="10" t="s">
        <v>6</v>
      </c>
      <c r="B31" s="8"/>
      <c r="C31" s="8"/>
      <c r="D31" s="8"/>
      <c r="E31" s="8"/>
      <c r="F31" s="8"/>
    </row>
    <row r="32" spans="1:6" x14ac:dyDescent="0.25">
      <c r="A32" s="1" t="s">
        <v>7</v>
      </c>
      <c r="B32" s="1" t="s">
        <v>8</v>
      </c>
      <c r="D32" s="1" t="s">
        <v>9</v>
      </c>
      <c r="E32" s="1" t="s">
        <v>10</v>
      </c>
    </row>
    <row r="33" spans="1:5" ht="27" x14ac:dyDescent="0.25">
      <c r="A33" s="1" t="s">
        <v>11</v>
      </c>
      <c r="B33" s="1" t="s">
        <v>12</v>
      </c>
      <c r="D33" s="1" t="s">
        <v>13</v>
      </c>
      <c r="E33" s="1" t="s">
        <v>14</v>
      </c>
    </row>
    <row r="34" spans="1:5" x14ac:dyDescent="0.25">
      <c r="A34" s="1" t="s">
        <v>15</v>
      </c>
      <c r="B34" s="1" t="s">
        <v>16</v>
      </c>
      <c r="D34" s="1" t="s">
        <v>17</v>
      </c>
      <c r="E34" s="1" t="s">
        <v>18</v>
      </c>
    </row>
    <row r="35" spans="1:5" ht="27" x14ac:dyDescent="0.25">
      <c r="A35" s="1" t="s">
        <v>19</v>
      </c>
      <c r="B35" s="1" t="s">
        <v>20</v>
      </c>
      <c r="D35" s="1" t="s">
        <v>21</v>
      </c>
      <c r="E35" s="1" t="s">
        <v>22</v>
      </c>
    </row>
  </sheetData>
  <mergeCells count="11">
    <mergeCell ref="A4:B4"/>
    <mergeCell ref="G4:H4"/>
    <mergeCell ref="A2:L2"/>
    <mergeCell ref="A1:L1"/>
    <mergeCell ref="A31:F31"/>
    <mergeCell ref="D5:E6"/>
    <mergeCell ref="A5:B6"/>
    <mergeCell ref="G5:H6"/>
    <mergeCell ref="D4:E4"/>
    <mergeCell ref="J4:L4"/>
    <mergeCell ref="J5:L6"/>
  </mergeCells>
  <conditionalFormatting sqref="A32:A35">
    <cfRule type="expression" dxfId="33" priority="1">
      <formula>A32="NORMAL"</formula>
    </cfRule>
    <cfRule type="expression" dxfId="32" priority="2">
      <formula>A32="ATENCAO"</formula>
    </cfRule>
    <cfRule type="expression" dxfId="31" priority="3">
      <formula>A32="PERIGO"</formula>
    </cfRule>
    <cfRule type="expression" dxfId="30" priority="4">
      <formula>A32="FALHA"</formula>
    </cfRule>
  </conditionalFormatting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H28"/>
  <sheetViews>
    <sheetView showGridLines="0" zoomScale="90" workbookViewId="0"/>
  </sheetViews>
  <sheetFormatPr defaultRowHeight="15" x14ac:dyDescent="0.25"/>
  <cols>
    <col min="1" max="1" width="23" customWidth="1"/>
    <col min="2" max="8" width="17" customWidth="1"/>
  </cols>
  <sheetData>
    <row r="1" spans="1:8" ht="33.950000000000003" customHeight="1" x14ac:dyDescent="0.25">
      <c r="A1" s="9" t="s">
        <v>23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10" t="s">
        <v>24</v>
      </c>
      <c r="B3" s="8"/>
      <c r="C3" s="8"/>
      <c r="D3" s="8"/>
      <c r="E3" s="8"/>
      <c r="F3" s="8"/>
      <c r="G3" s="8"/>
      <c r="H3" s="8"/>
    </row>
    <row r="4" spans="1:8" ht="24" customHeight="1" x14ac:dyDescent="0.25">
      <c r="A4" s="17" t="s">
        <v>25</v>
      </c>
      <c r="B4" s="8"/>
      <c r="C4" s="8"/>
      <c r="D4" s="8"/>
      <c r="E4" s="8"/>
      <c r="F4" s="8"/>
      <c r="G4" s="8"/>
      <c r="H4" s="8"/>
    </row>
    <row r="5" spans="1:8" ht="24" customHeight="1" x14ac:dyDescent="0.25">
      <c r="A5" s="17" t="s">
        <v>26</v>
      </c>
      <c r="B5" s="8"/>
      <c r="C5" s="8"/>
      <c r="D5" s="8"/>
      <c r="E5" s="8"/>
      <c r="F5" s="8"/>
      <c r="G5" s="8"/>
      <c r="H5" s="8"/>
    </row>
    <row r="6" spans="1:8" ht="24" customHeight="1" x14ac:dyDescent="0.25">
      <c r="A6" s="17" t="s">
        <v>27</v>
      </c>
      <c r="B6" s="8"/>
      <c r="C6" s="8"/>
      <c r="D6" s="8"/>
      <c r="E6" s="8"/>
      <c r="F6" s="8"/>
      <c r="G6" s="8"/>
      <c r="H6" s="8"/>
    </row>
    <row r="7" spans="1:8" ht="24" customHeight="1" x14ac:dyDescent="0.25">
      <c r="A7" s="17" t="s">
        <v>28</v>
      </c>
      <c r="B7" s="8"/>
      <c r="C7" s="8"/>
      <c r="D7" s="8"/>
      <c r="E7" s="8"/>
      <c r="F7" s="8"/>
      <c r="G7" s="8"/>
      <c r="H7" s="8"/>
    </row>
    <row r="8" spans="1:8" ht="24" customHeight="1" x14ac:dyDescent="0.25">
      <c r="A8" s="17" t="s">
        <v>29</v>
      </c>
      <c r="B8" s="8"/>
      <c r="C8" s="8"/>
      <c r="D8" s="8"/>
      <c r="E8" s="8"/>
      <c r="F8" s="8"/>
      <c r="G8" s="8"/>
      <c r="H8" s="8"/>
    </row>
    <row r="9" spans="1:8" ht="24" customHeight="1" x14ac:dyDescent="0.25">
      <c r="A9" s="17" t="s">
        <v>30</v>
      </c>
      <c r="B9" s="8"/>
      <c r="C9" s="8"/>
      <c r="D9" s="8"/>
      <c r="E9" s="8"/>
      <c r="F9" s="8"/>
      <c r="G9" s="8"/>
      <c r="H9" s="8"/>
    </row>
    <row r="11" spans="1:8" ht="21.95" customHeight="1" x14ac:dyDescent="0.25">
      <c r="A11" s="10" t="s">
        <v>31</v>
      </c>
      <c r="B11" s="8"/>
      <c r="C11" s="8"/>
      <c r="D11" s="8"/>
      <c r="E11" s="8"/>
      <c r="F11" s="8"/>
      <c r="G11" s="8"/>
      <c r="H11" s="8"/>
    </row>
    <row r="12" spans="1:8" ht="32.1" customHeight="1" x14ac:dyDescent="0.25">
      <c r="A12" s="2" t="s">
        <v>32</v>
      </c>
      <c r="B12" s="18" t="s">
        <v>33</v>
      </c>
      <c r="C12" s="18"/>
      <c r="D12" s="18"/>
      <c r="E12" s="18"/>
      <c r="F12" s="18"/>
      <c r="G12" s="18"/>
      <c r="H12" s="18"/>
    </row>
    <row r="13" spans="1:8" x14ac:dyDescent="0.25">
      <c r="A13" s="1" t="s">
        <v>34</v>
      </c>
      <c r="B13" s="16" t="s">
        <v>35</v>
      </c>
      <c r="C13" s="16"/>
      <c r="D13" s="16"/>
      <c r="E13" s="16"/>
      <c r="F13" s="16"/>
      <c r="G13" s="16"/>
      <c r="H13" s="16"/>
    </row>
    <row r="14" spans="1:8" x14ac:dyDescent="0.25">
      <c r="A14" s="1" t="s">
        <v>36</v>
      </c>
      <c r="B14" s="16" t="s">
        <v>37</v>
      </c>
      <c r="C14" s="16"/>
      <c r="D14" s="16"/>
      <c r="E14" s="16"/>
      <c r="F14" s="16"/>
      <c r="G14" s="16"/>
      <c r="H14" s="16"/>
    </row>
    <row r="15" spans="1:8" x14ac:dyDescent="0.25">
      <c r="A15" s="1" t="s">
        <v>38</v>
      </c>
      <c r="B15" s="16" t="s">
        <v>39</v>
      </c>
      <c r="C15" s="16"/>
      <c r="D15" s="16"/>
      <c r="E15" s="16"/>
      <c r="F15" s="16"/>
      <c r="G15" s="16"/>
      <c r="H15" s="16"/>
    </row>
    <row r="16" spans="1:8" x14ac:dyDescent="0.25">
      <c r="A16" s="1" t="s">
        <v>40</v>
      </c>
      <c r="B16" s="16" t="s">
        <v>41</v>
      </c>
      <c r="C16" s="16"/>
      <c r="D16" s="16"/>
      <c r="E16" s="16"/>
      <c r="F16" s="16"/>
      <c r="G16" s="16"/>
      <c r="H16" s="16"/>
    </row>
    <row r="17" spans="1:8" x14ac:dyDescent="0.25">
      <c r="A17" s="1" t="s">
        <v>42</v>
      </c>
      <c r="B17" s="16" t="s">
        <v>43</v>
      </c>
      <c r="C17" s="16"/>
      <c r="D17" s="16"/>
      <c r="E17" s="16"/>
      <c r="F17" s="16"/>
      <c r="G17" s="16"/>
      <c r="H17" s="16"/>
    </row>
    <row r="18" spans="1:8" x14ac:dyDescent="0.25">
      <c r="A18" s="1" t="s">
        <v>21</v>
      </c>
      <c r="B18" s="16" t="s">
        <v>44</v>
      </c>
      <c r="C18" s="16"/>
      <c r="D18" s="16"/>
      <c r="E18" s="16"/>
      <c r="F18" s="16"/>
      <c r="G18" s="16"/>
      <c r="H18" s="16"/>
    </row>
    <row r="19" spans="1:8" x14ac:dyDescent="0.25">
      <c r="A19" s="1" t="s">
        <v>45</v>
      </c>
      <c r="B19" s="16" t="s">
        <v>46</v>
      </c>
      <c r="C19" s="16"/>
      <c r="D19" s="16"/>
      <c r="E19" s="16"/>
      <c r="F19" s="16"/>
      <c r="G19" s="16"/>
      <c r="H19" s="16"/>
    </row>
    <row r="21" spans="1:8" ht="21.95" customHeight="1" x14ac:dyDescent="0.25">
      <c r="A21" s="10" t="s">
        <v>47</v>
      </c>
      <c r="B21" s="8"/>
      <c r="C21" s="8"/>
      <c r="D21" s="8"/>
      <c r="E21" s="8"/>
      <c r="F21" s="8"/>
      <c r="G21" s="8"/>
      <c r="H21" s="8"/>
    </row>
    <row r="22" spans="1:8" ht="24" customHeight="1" x14ac:dyDescent="0.25">
      <c r="A22" s="17" t="s">
        <v>242</v>
      </c>
      <c r="B22" s="8"/>
      <c r="C22" s="8"/>
      <c r="D22" s="8"/>
      <c r="E22" s="8"/>
      <c r="F22" s="8"/>
      <c r="G22" s="8"/>
      <c r="H22" s="8"/>
    </row>
    <row r="23" spans="1:8" ht="24" customHeight="1" x14ac:dyDescent="0.25">
      <c r="A23" s="17" t="s">
        <v>48</v>
      </c>
      <c r="B23" s="8"/>
      <c r="C23" s="8"/>
      <c r="D23" s="8"/>
      <c r="E23" s="8"/>
      <c r="F23" s="8"/>
      <c r="G23" s="8"/>
      <c r="H23" s="8"/>
    </row>
    <row r="24" spans="1:8" ht="24" customHeight="1" x14ac:dyDescent="0.25">
      <c r="A24" s="17" t="s">
        <v>49</v>
      </c>
      <c r="B24" s="8"/>
      <c r="C24" s="8"/>
      <c r="D24" s="8"/>
      <c r="E24" s="8"/>
      <c r="F24" s="8"/>
      <c r="G24" s="8"/>
      <c r="H24" s="8"/>
    </row>
    <row r="25" spans="1:8" ht="24" customHeight="1" x14ac:dyDescent="0.25">
      <c r="A25" s="17" t="s">
        <v>50</v>
      </c>
      <c r="B25" s="8"/>
      <c r="C25" s="8"/>
      <c r="D25" s="8"/>
      <c r="E25" s="8"/>
      <c r="F25" s="8"/>
      <c r="G25" s="8"/>
      <c r="H25" s="8"/>
    </row>
    <row r="26" spans="1:8" ht="24" customHeight="1" x14ac:dyDescent="0.25">
      <c r="A26" s="17" t="s">
        <v>51</v>
      </c>
      <c r="B26" s="8"/>
      <c r="C26" s="8"/>
      <c r="D26" s="8"/>
      <c r="E26" s="8"/>
      <c r="F26" s="8"/>
      <c r="G26" s="8"/>
      <c r="H26" s="8"/>
    </row>
    <row r="27" spans="1:8" ht="21.95" customHeight="1" x14ac:dyDescent="0.25">
      <c r="A27" s="10" t="s">
        <v>52</v>
      </c>
      <c r="B27" s="8"/>
      <c r="C27" s="8"/>
      <c r="D27" s="8"/>
      <c r="E27" s="8"/>
      <c r="F27" s="8"/>
      <c r="G27" s="8"/>
      <c r="H27" s="8"/>
    </row>
    <row r="28" spans="1:8" ht="24" customHeight="1" x14ac:dyDescent="0.25">
      <c r="A28" s="15" t="s">
        <v>53</v>
      </c>
      <c r="B28" s="8"/>
      <c r="C28" s="8"/>
      <c r="D28" s="8"/>
      <c r="E28" s="8"/>
      <c r="F28" s="8"/>
      <c r="G28" s="8"/>
      <c r="H28" s="8"/>
    </row>
  </sheetData>
  <mergeCells count="25">
    <mergeCell ref="A1:H1"/>
    <mergeCell ref="A6:H6"/>
    <mergeCell ref="A7:H7"/>
    <mergeCell ref="A3:H3"/>
    <mergeCell ref="A4:H4"/>
    <mergeCell ref="B12:H12"/>
    <mergeCell ref="A5:H5"/>
    <mergeCell ref="A23:H23"/>
    <mergeCell ref="A8:H8"/>
    <mergeCell ref="A22:H22"/>
    <mergeCell ref="B14:H14"/>
    <mergeCell ref="B17:H17"/>
    <mergeCell ref="B13:H13"/>
    <mergeCell ref="A9:H9"/>
    <mergeCell ref="A11:H11"/>
    <mergeCell ref="B15:H15"/>
    <mergeCell ref="A28:H28"/>
    <mergeCell ref="B19:H19"/>
    <mergeCell ref="A25:H25"/>
    <mergeCell ref="B16:H16"/>
    <mergeCell ref="A27:H27"/>
    <mergeCell ref="A21:H21"/>
    <mergeCell ref="A26:H26"/>
    <mergeCell ref="B18:H18"/>
    <mergeCell ref="A24:H24"/>
  </mergeCells>
  <pageMargins left="0.25" right="0.25" top="0.45" bottom="0.75" header="0.5" footer="0.5"/>
  <pageSetup orientation="landscape"/>
  <headerFooter>
    <oddFooter>&amp;C&amp;8 &amp;K687386TP03 - Marcelo Marcolino |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  <pageSetUpPr fitToPage="1"/>
  </sheetPr>
  <dimension ref="A1:D14"/>
  <sheetViews>
    <sheetView showGridLines="0"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3" width="13" customWidth="1"/>
    <col min="4" max="4" width="42" customWidth="1"/>
  </cols>
  <sheetData>
    <row r="1" spans="1:4" ht="33.950000000000003" customHeight="1" x14ac:dyDescent="0.25">
      <c r="A1" s="9" t="s">
        <v>54</v>
      </c>
      <c r="B1" s="8"/>
      <c r="C1" s="8"/>
      <c r="D1" s="8"/>
    </row>
    <row r="3" spans="1:4" ht="32.1" customHeight="1" x14ac:dyDescent="0.25">
      <c r="A3" s="2" t="s">
        <v>55</v>
      </c>
      <c r="B3" s="2" t="s">
        <v>56</v>
      </c>
      <c r="C3" s="2" t="s">
        <v>57</v>
      </c>
      <c r="D3" s="2" t="s">
        <v>58</v>
      </c>
    </row>
    <row r="4" spans="1:4" x14ac:dyDescent="0.25">
      <c r="A4" s="1" t="s">
        <v>59</v>
      </c>
      <c r="B4" s="1">
        <v>0</v>
      </c>
      <c r="C4" s="1" t="s">
        <v>60</v>
      </c>
      <c r="D4" s="1" t="s">
        <v>61</v>
      </c>
    </row>
    <row r="5" spans="1:4" x14ac:dyDescent="0.25">
      <c r="A5" s="1" t="s">
        <v>62</v>
      </c>
      <c r="B5" s="1">
        <v>1023</v>
      </c>
      <c r="C5" s="1" t="s">
        <v>60</v>
      </c>
      <c r="D5" s="1" t="s">
        <v>63</v>
      </c>
    </row>
    <row r="6" spans="1:4" x14ac:dyDescent="0.25">
      <c r="A6" s="1" t="s">
        <v>64</v>
      </c>
      <c r="B6" s="1">
        <v>0</v>
      </c>
      <c r="C6" s="1" t="s">
        <v>65</v>
      </c>
      <c r="D6" s="1" t="s">
        <v>66</v>
      </c>
    </row>
    <row r="7" spans="1:4" x14ac:dyDescent="0.25">
      <c r="A7" s="1" t="s">
        <v>67</v>
      </c>
      <c r="B7" s="1">
        <v>100</v>
      </c>
      <c r="C7" s="1" t="s">
        <v>65</v>
      </c>
      <c r="D7" s="1" t="s">
        <v>68</v>
      </c>
    </row>
    <row r="8" spans="1:4" x14ac:dyDescent="0.25">
      <c r="A8" s="1" t="s">
        <v>69</v>
      </c>
      <c r="B8" s="1">
        <v>4</v>
      </c>
      <c r="C8" s="1" t="s">
        <v>70</v>
      </c>
      <c r="D8" s="1" t="s">
        <v>71</v>
      </c>
    </row>
    <row r="9" spans="1:4" x14ac:dyDescent="0.25">
      <c r="A9" s="1" t="s">
        <v>72</v>
      </c>
      <c r="B9" s="1">
        <v>20</v>
      </c>
      <c r="C9" s="1" t="s">
        <v>70</v>
      </c>
      <c r="D9" s="1" t="s">
        <v>73</v>
      </c>
    </row>
    <row r="10" spans="1:4" x14ac:dyDescent="0.25">
      <c r="A10" s="1" t="s">
        <v>74</v>
      </c>
      <c r="B10" s="1">
        <v>0</v>
      </c>
      <c r="C10" s="1" t="s">
        <v>75</v>
      </c>
      <c r="D10" s="1" t="s">
        <v>76</v>
      </c>
    </row>
    <row r="11" spans="1:4" x14ac:dyDescent="0.25">
      <c r="A11" s="1" t="s">
        <v>77</v>
      </c>
      <c r="B11" s="1">
        <v>10</v>
      </c>
      <c r="C11" s="1" t="s">
        <v>75</v>
      </c>
      <c r="D11" s="1" t="s">
        <v>78</v>
      </c>
    </row>
    <row r="12" spans="1:4" x14ac:dyDescent="0.25">
      <c r="A12" s="1" t="s">
        <v>79</v>
      </c>
      <c r="B12" s="1">
        <v>70</v>
      </c>
      <c r="C12" s="1" t="s">
        <v>80</v>
      </c>
      <c r="D12" s="1" t="s">
        <v>81</v>
      </c>
    </row>
    <row r="13" spans="1:4" x14ac:dyDescent="0.25">
      <c r="A13" s="1" t="s">
        <v>82</v>
      </c>
      <c r="B13" s="1">
        <v>85</v>
      </c>
      <c r="C13" s="1" t="s">
        <v>80</v>
      </c>
      <c r="D13" s="1" t="s">
        <v>83</v>
      </c>
    </row>
    <row r="14" spans="1:4" x14ac:dyDescent="0.25">
      <c r="A14" s="1" t="s">
        <v>84</v>
      </c>
      <c r="B14" s="1">
        <v>5</v>
      </c>
      <c r="C14" s="1" t="s">
        <v>85</v>
      </c>
      <c r="D14" s="1" t="s">
        <v>86</v>
      </c>
    </row>
  </sheetData>
  <mergeCells count="1">
    <mergeCell ref="A1:D1"/>
  </mergeCells>
  <pageMargins left="0.25" right="0.25" top="0.45" bottom="0.45" header="0.5" footer="0.5"/>
  <pageSetup fitToHeight="0" orientation="portrait"/>
  <headerFooter>
    <oddFooter>&amp;C&amp;8 &amp;K687386TP03 - Marcelo Marcolino | &amp;P de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C95"/>
    <pageSetUpPr fitToPage="1"/>
  </sheetPr>
  <dimension ref="A1:G9"/>
  <sheetViews>
    <sheetView showGridLines="0"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13" customWidth="1"/>
    <col min="4" max="4" width="21" customWidth="1"/>
    <col min="5" max="5" width="17" customWidth="1"/>
    <col min="6" max="6" width="29" customWidth="1"/>
    <col min="7" max="7" width="30" customWidth="1"/>
  </cols>
  <sheetData>
    <row r="1" spans="1:7" ht="33.950000000000003" customHeight="1" x14ac:dyDescent="0.25">
      <c r="A1" s="9" t="s">
        <v>87</v>
      </c>
      <c r="B1" s="8"/>
      <c r="C1" s="8"/>
      <c r="D1" s="8"/>
      <c r="E1" s="8"/>
      <c r="F1" s="8"/>
      <c r="G1" s="8"/>
    </row>
    <row r="3" spans="1:7" ht="32.1" customHeight="1" x14ac:dyDescent="0.2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</row>
    <row r="4" spans="1:7" ht="33.950000000000003" customHeight="1" x14ac:dyDescent="0.25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</row>
    <row r="5" spans="1:7" ht="33.950000000000003" customHeight="1" x14ac:dyDescent="0.25">
      <c r="A5" s="1" t="s">
        <v>102</v>
      </c>
      <c r="B5" s="1" t="s">
        <v>103</v>
      </c>
      <c r="C5" s="1" t="s">
        <v>97</v>
      </c>
      <c r="D5" s="1" t="s">
        <v>104</v>
      </c>
      <c r="E5" s="1" t="s">
        <v>105</v>
      </c>
      <c r="F5" s="1" t="s">
        <v>106</v>
      </c>
      <c r="G5" s="1" t="s">
        <v>107</v>
      </c>
    </row>
    <row r="6" spans="1:7" ht="33.950000000000003" customHeight="1" x14ac:dyDescent="0.25">
      <c r="A6" s="1" t="s">
        <v>108</v>
      </c>
      <c r="B6" s="1" t="s">
        <v>109</v>
      </c>
      <c r="C6" s="1" t="s">
        <v>97</v>
      </c>
      <c r="D6" s="1" t="s">
        <v>110</v>
      </c>
      <c r="E6" s="1" t="s">
        <v>111</v>
      </c>
      <c r="F6" s="1" t="s">
        <v>112</v>
      </c>
      <c r="G6" s="1" t="s">
        <v>113</v>
      </c>
    </row>
    <row r="7" spans="1:7" ht="33.950000000000003" customHeight="1" x14ac:dyDescent="0.25">
      <c r="A7" s="1" t="s">
        <v>114</v>
      </c>
      <c r="B7" s="1" t="s">
        <v>115</v>
      </c>
      <c r="C7" s="1" t="s">
        <v>116</v>
      </c>
      <c r="D7" s="1" t="s">
        <v>98</v>
      </c>
      <c r="E7" s="1" t="s">
        <v>117</v>
      </c>
      <c r="F7" s="1" t="s">
        <v>118</v>
      </c>
      <c r="G7" s="1" t="s">
        <v>119</v>
      </c>
    </row>
    <row r="8" spans="1:7" ht="33.950000000000003" customHeight="1" x14ac:dyDescent="0.25">
      <c r="A8" s="1" t="s">
        <v>120</v>
      </c>
      <c r="B8" s="1" t="s">
        <v>121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126</v>
      </c>
    </row>
    <row r="9" spans="1:7" ht="33.950000000000003" customHeight="1" x14ac:dyDescent="0.25">
      <c r="A9" s="1" t="s">
        <v>127</v>
      </c>
      <c r="B9" s="1" t="s">
        <v>121</v>
      </c>
      <c r="C9" s="1" t="s">
        <v>122</v>
      </c>
      <c r="D9" s="1" t="s">
        <v>123</v>
      </c>
      <c r="E9" s="1" t="s">
        <v>128</v>
      </c>
      <c r="F9" s="1" t="s">
        <v>129</v>
      </c>
      <c r="G9" s="1" t="s">
        <v>130</v>
      </c>
    </row>
  </sheetData>
  <mergeCells count="1">
    <mergeCell ref="A1:G1"/>
  </mergeCells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E19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1" customWidth="1"/>
    <col min="2" max="2" width="14" customWidth="1"/>
    <col min="3" max="3" width="13" customWidth="1"/>
    <col min="4" max="4" width="23" customWidth="1"/>
    <col min="5" max="5" width="24" customWidth="1"/>
  </cols>
  <sheetData>
    <row r="1" spans="1:5" ht="33.950000000000003" customHeight="1" x14ac:dyDescent="0.25">
      <c r="A1" s="9" t="s">
        <v>241</v>
      </c>
      <c r="B1" s="8"/>
      <c r="C1" s="8"/>
      <c r="D1" s="8"/>
      <c r="E1" s="8"/>
    </row>
    <row r="2" spans="1:5" ht="30" customHeight="1" x14ac:dyDescent="0.25">
      <c r="A2" s="19" t="s">
        <v>243</v>
      </c>
      <c r="B2" s="20"/>
      <c r="C2" s="20"/>
      <c r="D2" s="20"/>
      <c r="E2" s="20"/>
    </row>
    <row r="4" spans="1:5" ht="32.1" customHeight="1" x14ac:dyDescent="0.25">
      <c r="A4" s="2" t="s">
        <v>131</v>
      </c>
      <c r="B4" s="2" t="s">
        <v>132</v>
      </c>
      <c r="C4" s="2" t="s">
        <v>133</v>
      </c>
      <c r="D4" s="2" t="s">
        <v>134</v>
      </c>
      <c r="E4" s="2" t="s">
        <v>135</v>
      </c>
    </row>
    <row r="5" spans="1:5" x14ac:dyDescent="0.25">
      <c r="A5" s="1">
        <v>1</v>
      </c>
      <c r="B5" s="1">
        <v>0</v>
      </c>
      <c r="C5" s="1">
        <v>0</v>
      </c>
      <c r="D5" s="1" t="s">
        <v>240</v>
      </c>
      <c r="E5" s="1" t="s">
        <v>136</v>
      </c>
    </row>
    <row r="6" spans="1:5" x14ac:dyDescent="0.25">
      <c r="A6" s="1">
        <v>2</v>
      </c>
      <c r="B6" s="1">
        <v>1</v>
      </c>
      <c r="C6" s="1">
        <v>256</v>
      </c>
      <c r="D6" s="1" t="s">
        <v>240</v>
      </c>
      <c r="E6" s="1" t="s">
        <v>137</v>
      </c>
    </row>
    <row r="7" spans="1:5" x14ac:dyDescent="0.25">
      <c r="A7" s="1">
        <v>3</v>
      </c>
      <c r="B7" s="1">
        <v>0</v>
      </c>
      <c r="C7" s="1">
        <v>512</v>
      </c>
      <c r="D7" s="1" t="s">
        <v>240</v>
      </c>
      <c r="E7" s="1" t="s">
        <v>138</v>
      </c>
    </row>
    <row r="8" spans="1:5" x14ac:dyDescent="0.25">
      <c r="A8" s="1">
        <v>4</v>
      </c>
      <c r="B8" s="1">
        <v>0</v>
      </c>
      <c r="C8" s="1">
        <v>650</v>
      </c>
      <c r="D8" s="1" t="s">
        <v>240</v>
      </c>
      <c r="E8" s="1" t="s">
        <v>139</v>
      </c>
    </row>
    <row r="9" spans="1:5" x14ac:dyDescent="0.25">
      <c r="A9" s="1">
        <v>5</v>
      </c>
      <c r="B9" s="1">
        <v>0</v>
      </c>
      <c r="C9" s="1">
        <v>716</v>
      </c>
      <c r="D9" s="1" t="s">
        <v>240</v>
      </c>
      <c r="E9" s="1" t="s">
        <v>140</v>
      </c>
    </row>
    <row r="10" spans="1:5" x14ac:dyDescent="0.25">
      <c r="A10" s="1">
        <v>6</v>
      </c>
      <c r="B10" s="1">
        <v>0</v>
      </c>
      <c r="C10" s="1">
        <v>717</v>
      </c>
      <c r="D10" s="1" t="s">
        <v>240</v>
      </c>
      <c r="E10" s="1" t="s">
        <v>141</v>
      </c>
    </row>
    <row r="11" spans="1:5" x14ac:dyDescent="0.25">
      <c r="A11" s="1">
        <v>7</v>
      </c>
      <c r="B11" s="1">
        <v>1</v>
      </c>
      <c r="C11" s="1">
        <v>768</v>
      </c>
      <c r="D11" s="1" t="s">
        <v>240</v>
      </c>
      <c r="E11" s="1" t="s">
        <v>142</v>
      </c>
    </row>
    <row r="12" spans="1:5" x14ac:dyDescent="0.25">
      <c r="A12" s="1">
        <v>8</v>
      </c>
      <c r="B12" s="1">
        <v>0</v>
      </c>
      <c r="C12" s="1">
        <v>830</v>
      </c>
      <c r="D12" s="1" t="s">
        <v>240</v>
      </c>
      <c r="E12" s="1" t="s">
        <v>139</v>
      </c>
    </row>
    <row r="13" spans="1:5" x14ac:dyDescent="0.25">
      <c r="A13" s="1">
        <v>9</v>
      </c>
      <c r="B13" s="1">
        <v>0</v>
      </c>
      <c r="C13" s="1">
        <v>869</v>
      </c>
      <c r="D13" s="1" t="s">
        <v>240</v>
      </c>
      <c r="E13" s="1" t="s">
        <v>143</v>
      </c>
    </row>
    <row r="14" spans="1:5" x14ac:dyDescent="0.25">
      <c r="A14" s="1">
        <v>10</v>
      </c>
      <c r="B14" s="1">
        <v>0</v>
      </c>
      <c r="C14" s="1">
        <v>870</v>
      </c>
      <c r="D14" s="1" t="s">
        <v>240</v>
      </c>
      <c r="E14" s="1" t="s">
        <v>144</v>
      </c>
    </row>
    <row r="15" spans="1:5" x14ac:dyDescent="0.25">
      <c r="A15" s="1">
        <v>11</v>
      </c>
      <c r="B15" s="1">
        <v>0</v>
      </c>
      <c r="C15" s="1">
        <v>950</v>
      </c>
      <c r="D15" s="1" t="s">
        <v>240</v>
      </c>
      <c r="E15" s="1" t="s">
        <v>145</v>
      </c>
    </row>
    <row r="16" spans="1:5" x14ac:dyDescent="0.25">
      <c r="A16" s="1">
        <v>12</v>
      </c>
      <c r="B16" s="1">
        <v>1</v>
      </c>
      <c r="C16" s="1">
        <v>1023</v>
      </c>
      <c r="D16" s="1" t="s">
        <v>240</v>
      </c>
      <c r="E16" s="1" t="s">
        <v>146</v>
      </c>
    </row>
    <row r="17" spans="1:5" x14ac:dyDescent="0.25">
      <c r="A17" s="1">
        <v>13</v>
      </c>
      <c r="B17" s="1">
        <v>0</v>
      </c>
      <c r="C17" s="1">
        <v>900</v>
      </c>
      <c r="D17" s="1" t="s">
        <v>240</v>
      </c>
      <c r="E17" s="1" t="s">
        <v>147</v>
      </c>
    </row>
    <row r="18" spans="1:5" x14ac:dyDescent="0.25">
      <c r="A18" s="1">
        <v>14</v>
      </c>
      <c r="B18" s="1">
        <v>0</v>
      </c>
      <c r="C18" s="1">
        <v>800</v>
      </c>
      <c r="D18" s="1" t="s">
        <v>240</v>
      </c>
      <c r="E18" s="1" t="s">
        <v>148</v>
      </c>
    </row>
    <row r="19" spans="1:5" x14ac:dyDescent="0.25">
      <c r="A19" s="1">
        <v>15</v>
      </c>
      <c r="B19" s="1">
        <v>0</v>
      </c>
      <c r="C19" s="1">
        <v>700</v>
      </c>
      <c r="D19" s="1" t="s">
        <v>240</v>
      </c>
      <c r="E19" s="1" t="s">
        <v>149</v>
      </c>
    </row>
  </sheetData>
  <mergeCells count="2">
    <mergeCell ref="A2:E2"/>
    <mergeCell ref="A1:E1"/>
  </mergeCells>
  <dataValidations count="2">
    <dataValidation type="list" sqref="B5:B19" xr:uid="{00000000-0002-0000-0400-000000000000}">
      <formula1>"0,1"</formula1>
    </dataValidation>
    <dataValidation type="whole" sqref="C5:C19" xr:uid="{00000000-0002-0000-0400-000001000000}">
      <formula1>0</formula1>
      <formula2>1023</formula2>
    </dataValidation>
  </dataValidations>
  <pageMargins left="0.25" right="0.25" top="0.45" bottom="0.45" header="0.5" footer="0.5"/>
  <pageSetup fitToHeight="0" orientation="portrait"/>
  <headerFooter>
    <oddFooter>&amp;C&amp;8 &amp;K687386TP03 - Marcelo Marcolino | &amp;P de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A6A6"/>
    <pageSetUpPr fitToPage="1"/>
  </sheetPr>
  <dimension ref="A1:N19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9" customWidth="1"/>
    <col min="3" max="3" width="12" customWidth="1"/>
    <col min="4" max="4" width="16" customWidth="1"/>
    <col min="5" max="5" width="19" customWidth="1"/>
    <col min="6" max="6" width="15" customWidth="1"/>
    <col min="7" max="8" width="13" customWidth="1"/>
    <col min="9" max="9" width="9" customWidth="1"/>
    <col min="10" max="10" width="15" customWidth="1"/>
    <col min="11" max="11" width="19" customWidth="1"/>
    <col min="12" max="12" width="15" customWidth="1"/>
    <col min="13" max="13" width="18" customWidth="1"/>
    <col min="14" max="14" width="17" customWidth="1"/>
  </cols>
  <sheetData>
    <row r="1" spans="1:14" ht="33.950000000000003" customHeight="1" x14ac:dyDescent="0.25">
      <c r="A1" s="9" t="s">
        <v>150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19" t="s">
        <v>151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2.1" customHeight="1" x14ac:dyDescent="0.25">
      <c r="A4" s="2" t="s">
        <v>131</v>
      </c>
      <c r="B4" s="2" t="s">
        <v>13</v>
      </c>
      <c r="C4" s="2" t="s">
        <v>133</v>
      </c>
      <c r="D4" s="2" t="s">
        <v>152</v>
      </c>
      <c r="E4" s="2" t="s">
        <v>153</v>
      </c>
      <c r="F4" s="2" t="s">
        <v>154</v>
      </c>
      <c r="G4" s="2" t="s">
        <v>155</v>
      </c>
      <c r="H4" s="2" t="s">
        <v>42</v>
      </c>
      <c r="I4" s="2" t="s">
        <v>9</v>
      </c>
      <c r="J4" s="2" t="s">
        <v>156</v>
      </c>
      <c r="K4" s="2" t="s">
        <v>157</v>
      </c>
      <c r="L4" s="2" t="s">
        <v>158</v>
      </c>
      <c r="M4" s="2" t="s">
        <v>159</v>
      </c>
      <c r="N4" s="2" t="s">
        <v>160</v>
      </c>
    </row>
    <row r="5" spans="1:14" x14ac:dyDescent="0.25">
      <c r="A5" s="1">
        <f>Dados_Brutos!A5</f>
        <v>1</v>
      </c>
      <c r="B5" s="1">
        <f>Dados_Brutos!B5</f>
        <v>0</v>
      </c>
      <c r="C5" s="1">
        <f>Dados_Brutos!C5</f>
        <v>0</v>
      </c>
      <c r="D5" s="3">
        <f>(C5-Parametros!$B$4)/(Parametros!$B$5-Parametros!$B$4)*100</f>
        <v>0</v>
      </c>
      <c r="E5" s="3">
        <f>Parametros!$B$6+D5/100*(Parametros!$B$7-Parametros!$B$6)</f>
        <v>0</v>
      </c>
      <c r="F5" s="3">
        <f>Parametros!$B$8+D5/100*(Parametros!$B$9-Parametros!$B$8)</f>
        <v>4</v>
      </c>
      <c r="G5" s="3">
        <f>Parametros!$B$10+D5/100*(Parametros!$B$11-Parametros!$B$10)</f>
        <v>0</v>
      </c>
      <c r="H5" s="1" t="str">
        <f>IF(OR(D5&lt;0,D5&gt;100),"FALHA",IF(D5&gt;=Parametros!$B$13,"PERIGO",IF(D5&gt;=Parametros!$B$12,"ATENCAO","NORMAL")))</f>
        <v>NORMAL</v>
      </c>
      <c r="I5" s="1" t="str">
        <f t="shared" ref="I5:I19" si="0">IF(H5="PERIGO","ON","OFF")</f>
        <v>OFF</v>
      </c>
      <c r="J5" s="3">
        <f>AVERAGE(C5:C5)</f>
        <v>0</v>
      </c>
      <c r="K5" s="3">
        <f>Parametros!$B$6+(J5-Parametros!$B$4)/(Parametros!$B$5-Parametros!$B$4)*(Parametros!$B$7-Parametros!$B$6)</f>
        <v>0</v>
      </c>
      <c r="L5" s="1" t="str">
        <f>IF(OR(K5&lt;0,K5&gt;100),"FALHA",IF(K5&gt;=Parametros!$B$13,"PERIGO",IF(K5&gt;=Parametros!$B$12,"ATENCAO","NORMAL")))</f>
        <v>NORMAL</v>
      </c>
      <c r="M5" s="3">
        <f>Parametros!$B$12</f>
        <v>70</v>
      </c>
      <c r="N5" s="3">
        <f>Parametros!$B$13</f>
        <v>85</v>
      </c>
    </row>
    <row r="6" spans="1:14" x14ac:dyDescent="0.25">
      <c r="A6" s="1">
        <f>Dados_Brutos!A6</f>
        <v>2</v>
      </c>
      <c r="B6" s="1">
        <f>Dados_Brutos!B6</f>
        <v>1</v>
      </c>
      <c r="C6" s="1">
        <f>Dados_Brutos!C6</f>
        <v>256</v>
      </c>
      <c r="D6" s="3">
        <f>(C6-Parametros!$B$4)/(Parametros!$B$5-Parametros!$B$4)*100</f>
        <v>25.024437927663733</v>
      </c>
      <c r="E6" s="3">
        <f>Parametros!$B$6+D6/100*(Parametros!$B$7-Parametros!$B$6)</f>
        <v>25.024437927663733</v>
      </c>
      <c r="F6" s="3">
        <f>Parametros!$B$8+D6/100*(Parametros!$B$9-Parametros!$B$8)</f>
        <v>8.0039100684261975</v>
      </c>
      <c r="G6" s="3">
        <f>Parametros!$B$10+D6/100*(Parametros!$B$11-Parametros!$B$10)</f>
        <v>2.5024437927663734</v>
      </c>
      <c r="H6" s="1" t="str">
        <f>IF(OR(D6&lt;0,D6&gt;100),"FALHA",IF(D6&gt;=Parametros!$B$13,"PERIGO",IF(D6&gt;=Parametros!$B$12,"ATENCAO","NORMAL")))</f>
        <v>NORMAL</v>
      </c>
      <c r="I6" s="1" t="str">
        <f t="shared" si="0"/>
        <v>OFF</v>
      </c>
      <c r="J6" s="3">
        <f>AVERAGE(C5:C6)</f>
        <v>128</v>
      </c>
      <c r="K6" s="3">
        <f>Parametros!$B$6+(J6-Parametros!$B$4)/(Parametros!$B$5-Parametros!$B$4)*(Parametros!$B$7-Parametros!$B$6)</f>
        <v>12.512218963831867</v>
      </c>
      <c r="L6" s="1" t="str">
        <f>IF(OR(K6&lt;0,K6&gt;100),"FALHA",IF(K6&gt;=Parametros!$B$13,"PERIGO",IF(K6&gt;=Parametros!$B$12,"ATENCAO","NORMAL")))</f>
        <v>NORMAL</v>
      </c>
      <c r="M6" s="3">
        <f>Parametros!$B$12</f>
        <v>70</v>
      </c>
      <c r="N6" s="3">
        <f>Parametros!$B$13</f>
        <v>85</v>
      </c>
    </row>
    <row r="7" spans="1:14" x14ac:dyDescent="0.25">
      <c r="A7" s="1">
        <f>Dados_Brutos!A7</f>
        <v>3</v>
      </c>
      <c r="B7" s="1">
        <f>Dados_Brutos!B7</f>
        <v>0</v>
      </c>
      <c r="C7" s="1">
        <f>Dados_Brutos!C7</f>
        <v>512</v>
      </c>
      <c r="D7" s="3">
        <f>(C7-Parametros!$B$4)/(Parametros!$B$5-Parametros!$B$4)*100</f>
        <v>50.048875855327466</v>
      </c>
      <c r="E7" s="3">
        <f>Parametros!$B$6+D7/100*(Parametros!$B$7-Parametros!$B$6)</f>
        <v>50.048875855327466</v>
      </c>
      <c r="F7" s="3">
        <f>Parametros!$B$8+D7/100*(Parametros!$B$9-Parametros!$B$8)</f>
        <v>12.007820136852395</v>
      </c>
      <c r="G7" s="3">
        <f>Parametros!$B$10+D7/100*(Parametros!$B$11-Parametros!$B$10)</f>
        <v>5.0048875855327468</v>
      </c>
      <c r="H7" s="1" t="str">
        <f>IF(OR(D7&lt;0,D7&gt;100),"FALHA",IF(D7&gt;=Parametros!$B$13,"PERIGO",IF(D7&gt;=Parametros!$B$12,"ATENCAO","NORMAL")))</f>
        <v>NORMAL</v>
      </c>
      <c r="I7" s="1" t="str">
        <f t="shared" si="0"/>
        <v>OFF</v>
      </c>
      <c r="J7" s="3">
        <f>AVERAGE(C5:C7)</f>
        <v>256</v>
      </c>
      <c r="K7" s="3">
        <f>Parametros!$B$6+(J7-Parametros!$B$4)/(Parametros!$B$5-Parametros!$B$4)*(Parametros!$B$7-Parametros!$B$6)</f>
        <v>25.024437927663733</v>
      </c>
      <c r="L7" s="1" t="str">
        <f>IF(OR(K7&lt;0,K7&gt;100),"FALHA",IF(K7&gt;=Parametros!$B$13,"PERIGO",IF(K7&gt;=Parametros!$B$12,"ATENCAO","NORMAL")))</f>
        <v>NORMAL</v>
      </c>
      <c r="M7" s="3">
        <f>Parametros!$B$12</f>
        <v>70</v>
      </c>
      <c r="N7" s="3">
        <f>Parametros!$B$13</f>
        <v>85</v>
      </c>
    </row>
    <row r="8" spans="1:14" x14ac:dyDescent="0.25">
      <c r="A8" s="1">
        <f>Dados_Brutos!A8</f>
        <v>4</v>
      </c>
      <c r="B8" s="1">
        <f>Dados_Brutos!B8</f>
        <v>0</v>
      </c>
      <c r="C8" s="1">
        <f>Dados_Brutos!C8</f>
        <v>650</v>
      </c>
      <c r="D8" s="3">
        <f>(C8-Parametros!$B$4)/(Parametros!$B$5-Parametros!$B$4)*100</f>
        <v>63.5386119257087</v>
      </c>
      <c r="E8" s="3">
        <f>Parametros!$B$6+D8/100*(Parametros!$B$7-Parametros!$B$6)</f>
        <v>63.5386119257087</v>
      </c>
      <c r="F8" s="3">
        <f>Parametros!$B$8+D8/100*(Parametros!$B$9-Parametros!$B$8)</f>
        <v>14.166177908113392</v>
      </c>
      <c r="G8" s="3">
        <f>Parametros!$B$10+D8/100*(Parametros!$B$11-Parametros!$B$10)</f>
        <v>6.3538611925708697</v>
      </c>
      <c r="H8" s="1" t="str">
        <f>IF(OR(D8&lt;0,D8&gt;100),"FALHA",IF(D8&gt;=Parametros!$B$13,"PERIGO",IF(D8&gt;=Parametros!$B$12,"ATENCAO","NORMAL")))</f>
        <v>NORMAL</v>
      </c>
      <c r="I8" s="1" t="str">
        <f t="shared" si="0"/>
        <v>OFF</v>
      </c>
      <c r="J8" s="3">
        <f>AVERAGE(C5:C8)</f>
        <v>354.5</v>
      </c>
      <c r="K8" s="3">
        <f>Parametros!$B$6+(J8-Parametros!$B$4)/(Parametros!$B$5-Parametros!$B$4)*(Parametros!$B$7-Parametros!$B$6)</f>
        <v>34.652981427174979</v>
      </c>
      <c r="L8" s="1" t="str">
        <f>IF(OR(K8&lt;0,K8&gt;100),"FALHA",IF(K8&gt;=Parametros!$B$13,"PERIGO",IF(K8&gt;=Parametros!$B$12,"ATENCAO","NORMAL")))</f>
        <v>NORMAL</v>
      </c>
      <c r="M8" s="3">
        <f>Parametros!$B$12</f>
        <v>70</v>
      </c>
      <c r="N8" s="3">
        <f>Parametros!$B$13</f>
        <v>85</v>
      </c>
    </row>
    <row r="9" spans="1:14" x14ac:dyDescent="0.25">
      <c r="A9" s="1">
        <f>Dados_Brutos!A9</f>
        <v>5</v>
      </c>
      <c r="B9" s="1">
        <f>Dados_Brutos!B9</f>
        <v>0</v>
      </c>
      <c r="C9" s="1">
        <f>Dados_Brutos!C9</f>
        <v>716</v>
      </c>
      <c r="D9" s="3">
        <f>(C9-Parametros!$B$4)/(Parametros!$B$5-Parametros!$B$4)*100</f>
        <v>69.990224828934515</v>
      </c>
      <c r="E9" s="3">
        <f>Parametros!$B$6+D9/100*(Parametros!$B$7-Parametros!$B$6)</f>
        <v>69.990224828934515</v>
      </c>
      <c r="F9" s="3">
        <f>Parametros!$B$8+D9/100*(Parametros!$B$9-Parametros!$B$8)</f>
        <v>15.198435972629522</v>
      </c>
      <c r="G9" s="3">
        <f>Parametros!$B$10+D9/100*(Parametros!$B$11-Parametros!$B$10)</f>
        <v>6.9990224828934515</v>
      </c>
      <c r="H9" s="1" t="str">
        <f>IF(OR(D9&lt;0,D9&gt;100),"FALHA",IF(D9&gt;=Parametros!$B$13,"PERIGO",IF(D9&gt;=Parametros!$B$12,"ATENCAO","NORMAL")))</f>
        <v>NORMAL</v>
      </c>
      <c r="I9" s="1" t="str">
        <f t="shared" si="0"/>
        <v>OFF</v>
      </c>
      <c r="J9" s="3">
        <f t="shared" ref="J9:J19" si="1">AVERAGE(C5:C9)</f>
        <v>426.8</v>
      </c>
      <c r="K9" s="3">
        <f>Parametros!$B$6+(J9-Parametros!$B$4)/(Parametros!$B$5-Parametros!$B$4)*(Parametros!$B$7-Parametros!$B$6)</f>
        <v>41.720430107526887</v>
      </c>
      <c r="L9" s="1" t="str">
        <f>IF(OR(K9&lt;0,K9&gt;100),"FALHA",IF(K9&gt;=Parametros!$B$13,"PERIGO",IF(K9&gt;=Parametros!$B$12,"ATENCAO","NORMAL")))</f>
        <v>NORMAL</v>
      </c>
      <c r="M9" s="3">
        <f>Parametros!$B$12</f>
        <v>70</v>
      </c>
      <c r="N9" s="3">
        <f>Parametros!$B$13</f>
        <v>85</v>
      </c>
    </row>
    <row r="10" spans="1:14" x14ac:dyDescent="0.25">
      <c r="A10" s="1">
        <f>Dados_Brutos!A10</f>
        <v>6</v>
      </c>
      <c r="B10" s="1">
        <f>Dados_Brutos!B10</f>
        <v>0</v>
      </c>
      <c r="C10" s="1">
        <f>Dados_Brutos!C10</f>
        <v>717</v>
      </c>
      <c r="D10" s="3">
        <f>(C10-Parametros!$B$4)/(Parametros!$B$5-Parametros!$B$4)*100</f>
        <v>70.087976539589448</v>
      </c>
      <c r="E10" s="3">
        <f>Parametros!$B$6+D10/100*(Parametros!$B$7-Parametros!$B$6)</f>
        <v>70.087976539589448</v>
      </c>
      <c r="F10" s="3">
        <f>Parametros!$B$8+D10/100*(Parametros!$B$9-Parametros!$B$8)</f>
        <v>15.214076246334312</v>
      </c>
      <c r="G10" s="3">
        <f>Parametros!$B$10+D10/100*(Parametros!$B$11-Parametros!$B$10)</f>
        <v>7.0087976539589452</v>
      </c>
      <c r="H10" s="1" t="str">
        <f>IF(OR(D10&lt;0,D10&gt;100),"FALHA",IF(D10&gt;=Parametros!$B$13,"PERIGO",IF(D10&gt;=Parametros!$B$12,"ATENCAO","NORMAL")))</f>
        <v>ATENCAO</v>
      </c>
      <c r="I10" s="1" t="str">
        <f t="shared" si="0"/>
        <v>OFF</v>
      </c>
      <c r="J10" s="3">
        <f t="shared" si="1"/>
        <v>570.20000000000005</v>
      </c>
      <c r="K10" s="3">
        <f>Parametros!$B$6+(J10-Parametros!$B$4)/(Parametros!$B$5-Parametros!$B$4)*(Parametros!$B$7-Parametros!$B$6)</f>
        <v>55.738025415444767</v>
      </c>
      <c r="L10" s="1" t="str">
        <f>IF(OR(K10&lt;0,K10&gt;100),"FALHA",IF(K10&gt;=Parametros!$B$13,"PERIGO",IF(K10&gt;=Parametros!$B$12,"ATENCAO","NORMAL")))</f>
        <v>NORMAL</v>
      </c>
      <c r="M10" s="3">
        <f>Parametros!$B$12</f>
        <v>70</v>
      </c>
      <c r="N10" s="3">
        <f>Parametros!$B$13</f>
        <v>85</v>
      </c>
    </row>
    <row r="11" spans="1:14" x14ac:dyDescent="0.25">
      <c r="A11" s="1">
        <f>Dados_Brutos!A11</f>
        <v>7</v>
      </c>
      <c r="B11" s="1">
        <f>Dados_Brutos!B11</f>
        <v>1</v>
      </c>
      <c r="C11" s="1">
        <f>Dados_Brutos!C11</f>
        <v>768</v>
      </c>
      <c r="D11" s="3">
        <f>(C11-Parametros!$B$4)/(Parametros!$B$5-Parametros!$B$4)*100</f>
        <v>75.073313782991207</v>
      </c>
      <c r="E11" s="3">
        <f>Parametros!$B$6+D11/100*(Parametros!$B$7-Parametros!$B$6)</f>
        <v>75.073313782991207</v>
      </c>
      <c r="F11" s="3">
        <f>Parametros!$B$8+D11/100*(Parametros!$B$9-Parametros!$B$8)</f>
        <v>16.011730205278592</v>
      </c>
      <c r="G11" s="3">
        <f>Parametros!$B$10+D11/100*(Parametros!$B$11-Parametros!$B$10)</f>
        <v>7.5073313782991207</v>
      </c>
      <c r="H11" s="1" t="str">
        <f>IF(OR(D11&lt;0,D11&gt;100),"FALHA",IF(D11&gt;=Parametros!$B$13,"PERIGO",IF(D11&gt;=Parametros!$B$12,"ATENCAO","NORMAL")))</f>
        <v>ATENCAO</v>
      </c>
      <c r="I11" s="1" t="str">
        <f t="shared" si="0"/>
        <v>OFF</v>
      </c>
      <c r="J11" s="3">
        <f t="shared" si="1"/>
        <v>672.6</v>
      </c>
      <c r="K11" s="3">
        <f>Parametros!$B$6+(J11-Parametros!$B$4)/(Parametros!$B$5-Parametros!$B$4)*(Parametros!$B$7-Parametros!$B$6)</f>
        <v>65.747800586510266</v>
      </c>
      <c r="L11" s="1" t="str">
        <f>IF(OR(K11&lt;0,K11&gt;100),"FALHA",IF(K11&gt;=Parametros!$B$13,"PERIGO",IF(K11&gt;=Parametros!$B$12,"ATENCAO","NORMAL")))</f>
        <v>NORMAL</v>
      </c>
      <c r="M11" s="3">
        <f>Parametros!$B$12</f>
        <v>70</v>
      </c>
      <c r="N11" s="3">
        <f>Parametros!$B$13</f>
        <v>85</v>
      </c>
    </row>
    <row r="12" spans="1:14" x14ac:dyDescent="0.25">
      <c r="A12" s="1">
        <f>Dados_Brutos!A12</f>
        <v>8</v>
      </c>
      <c r="B12" s="1">
        <f>Dados_Brutos!B12</f>
        <v>0</v>
      </c>
      <c r="C12" s="1">
        <f>Dados_Brutos!C12</f>
        <v>830</v>
      </c>
      <c r="D12" s="3">
        <f>(C12-Parametros!$B$4)/(Parametros!$B$5-Parametros!$B$4)*100</f>
        <v>81.133919843597255</v>
      </c>
      <c r="E12" s="3">
        <f>Parametros!$B$6+D12/100*(Parametros!$B$7-Parametros!$B$6)</f>
        <v>81.133919843597255</v>
      </c>
      <c r="F12" s="3">
        <f>Parametros!$B$8+D12/100*(Parametros!$B$9-Parametros!$B$8)</f>
        <v>16.981427174975561</v>
      </c>
      <c r="G12" s="3">
        <f>Parametros!$B$10+D12/100*(Parametros!$B$11-Parametros!$B$10)</f>
        <v>8.1133919843597262</v>
      </c>
      <c r="H12" s="1" t="str">
        <f>IF(OR(D12&lt;0,D12&gt;100),"FALHA",IF(D12&gt;=Parametros!$B$13,"PERIGO",IF(D12&gt;=Parametros!$B$12,"ATENCAO","NORMAL")))</f>
        <v>ATENCAO</v>
      </c>
      <c r="I12" s="1" t="str">
        <f t="shared" si="0"/>
        <v>OFF</v>
      </c>
      <c r="J12" s="3">
        <f t="shared" si="1"/>
        <v>736.2</v>
      </c>
      <c r="K12" s="3">
        <f>Parametros!$B$6+(J12-Parametros!$B$4)/(Parametros!$B$5-Parametros!$B$4)*(Parametros!$B$7-Parametros!$B$6)</f>
        <v>71.964809384164226</v>
      </c>
      <c r="L12" s="1" t="str">
        <f>IF(OR(K12&lt;0,K12&gt;100),"FALHA",IF(K12&gt;=Parametros!$B$13,"PERIGO",IF(K12&gt;=Parametros!$B$12,"ATENCAO","NORMAL")))</f>
        <v>ATENCAO</v>
      </c>
      <c r="M12" s="3">
        <f>Parametros!$B$12</f>
        <v>70</v>
      </c>
      <c r="N12" s="3">
        <f>Parametros!$B$13</f>
        <v>85</v>
      </c>
    </row>
    <row r="13" spans="1:14" x14ac:dyDescent="0.25">
      <c r="A13" s="1">
        <f>Dados_Brutos!A13</f>
        <v>9</v>
      </c>
      <c r="B13" s="1">
        <f>Dados_Brutos!B13</f>
        <v>0</v>
      </c>
      <c r="C13" s="1">
        <f>Dados_Brutos!C13</f>
        <v>869</v>
      </c>
      <c r="D13" s="3">
        <f>(C13-Parametros!$B$4)/(Parametros!$B$5-Parametros!$B$4)*100</f>
        <v>84.946236559139791</v>
      </c>
      <c r="E13" s="3">
        <f>Parametros!$B$6+D13/100*(Parametros!$B$7-Parametros!$B$6)</f>
        <v>84.946236559139791</v>
      </c>
      <c r="F13" s="3">
        <f>Parametros!$B$8+D13/100*(Parametros!$B$9-Parametros!$B$8)</f>
        <v>17.591397849462368</v>
      </c>
      <c r="G13" s="3">
        <f>Parametros!$B$10+D13/100*(Parametros!$B$11-Parametros!$B$10)</f>
        <v>8.4946236559139781</v>
      </c>
      <c r="H13" s="1" t="str">
        <f>IF(OR(D13&lt;0,D13&gt;100),"FALHA",IF(D13&gt;=Parametros!$B$13,"PERIGO",IF(D13&gt;=Parametros!$B$12,"ATENCAO","NORMAL")))</f>
        <v>ATENCAO</v>
      </c>
      <c r="I13" s="1" t="str">
        <f t="shared" si="0"/>
        <v>OFF</v>
      </c>
      <c r="J13" s="3">
        <f t="shared" si="1"/>
        <v>780</v>
      </c>
      <c r="K13" s="3">
        <f>Parametros!$B$6+(J13-Parametros!$B$4)/(Parametros!$B$5-Parametros!$B$4)*(Parametros!$B$7-Parametros!$B$6)</f>
        <v>76.246334310850443</v>
      </c>
      <c r="L13" s="1" t="str">
        <f>IF(OR(K13&lt;0,K13&gt;100),"FALHA",IF(K13&gt;=Parametros!$B$13,"PERIGO",IF(K13&gt;=Parametros!$B$12,"ATENCAO","NORMAL")))</f>
        <v>ATENCAO</v>
      </c>
      <c r="M13" s="3">
        <f>Parametros!$B$12</f>
        <v>70</v>
      </c>
      <c r="N13" s="3">
        <f>Parametros!$B$13</f>
        <v>85</v>
      </c>
    </row>
    <row r="14" spans="1:14" x14ac:dyDescent="0.25">
      <c r="A14" s="1">
        <f>Dados_Brutos!A14</f>
        <v>10</v>
      </c>
      <c r="B14" s="1">
        <f>Dados_Brutos!B14</f>
        <v>0</v>
      </c>
      <c r="C14" s="1">
        <f>Dados_Brutos!C14</f>
        <v>870</v>
      </c>
      <c r="D14" s="3">
        <f>(C14-Parametros!$B$4)/(Parametros!$B$5-Parametros!$B$4)*100</f>
        <v>85.043988269794724</v>
      </c>
      <c r="E14" s="3">
        <f>Parametros!$B$6+D14/100*(Parametros!$B$7-Parametros!$B$6)</f>
        <v>85.043988269794724</v>
      </c>
      <c r="F14" s="3">
        <f>Parametros!$B$8+D14/100*(Parametros!$B$9-Parametros!$B$8)</f>
        <v>17.607038123167158</v>
      </c>
      <c r="G14" s="3">
        <f>Parametros!$B$10+D14/100*(Parametros!$B$11-Parametros!$B$10)</f>
        <v>8.5043988269794717</v>
      </c>
      <c r="H14" s="1" t="str">
        <f>IF(OR(D14&lt;0,D14&gt;100),"FALHA",IF(D14&gt;=Parametros!$B$13,"PERIGO",IF(D14&gt;=Parametros!$B$12,"ATENCAO","NORMAL")))</f>
        <v>PERIGO</v>
      </c>
      <c r="I14" s="1" t="str">
        <f t="shared" si="0"/>
        <v>ON</v>
      </c>
      <c r="J14" s="3">
        <f t="shared" si="1"/>
        <v>810.8</v>
      </c>
      <c r="K14" s="3">
        <f>Parametros!$B$6+(J14-Parametros!$B$4)/(Parametros!$B$5-Parametros!$B$4)*(Parametros!$B$7-Parametros!$B$6)</f>
        <v>79.257086999022476</v>
      </c>
      <c r="L14" s="1" t="str">
        <f>IF(OR(K14&lt;0,K14&gt;100),"FALHA",IF(K14&gt;=Parametros!$B$13,"PERIGO",IF(K14&gt;=Parametros!$B$12,"ATENCAO","NORMAL")))</f>
        <v>ATENCAO</v>
      </c>
      <c r="M14" s="3">
        <f>Parametros!$B$12</f>
        <v>70</v>
      </c>
      <c r="N14" s="3">
        <f>Parametros!$B$13</f>
        <v>85</v>
      </c>
    </row>
    <row r="15" spans="1:14" x14ac:dyDescent="0.25">
      <c r="A15" s="1">
        <f>Dados_Brutos!A15</f>
        <v>11</v>
      </c>
      <c r="B15" s="1">
        <f>Dados_Brutos!B15</f>
        <v>0</v>
      </c>
      <c r="C15" s="1">
        <f>Dados_Brutos!C15</f>
        <v>950</v>
      </c>
      <c r="D15" s="3">
        <f>(C15-Parametros!$B$4)/(Parametros!$B$5-Parametros!$B$4)*100</f>
        <v>92.864125122189634</v>
      </c>
      <c r="E15" s="3">
        <f>Parametros!$B$6+D15/100*(Parametros!$B$7-Parametros!$B$6)</f>
        <v>92.864125122189634</v>
      </c>
      <c r="F15" s="3">
        <f>Parametros!$B$8+D15/100*(Parametros!$B$9-Parametros!$B$8)</f>
        <v>18.858260019550343</v>
      </c>
      <c r="G15" s="3">
        <f>Parametros!$B$10+D15/100*(Parametros!$B$11-Parametros!$B$10)</f>
        <v>9.2864125122189627</v>
      </c>
      <c r="H15" s="1" t="str">
        <f>IF(OR(D15&lt;0,D15&gt;100),"FALHA",IF(D15&gt;=Parametros!$B$13,"PERIGO",IF(D15&gt;=Parametros!$B$12,"ATENCAO","NORMAL")))</f>
        <v>PERIGO</v>
      </c>
      <c r="I15" s="1" t="str">
        <f t="shared" si="0"/>
        <v>ON</v>
      </c>
      <c r="J15" s="3">
        <f t="shared" si="1"/>
        <v>857.4</v>
      </c>
      <c r="K15" s="3">
        <f>Parametros!$B$6+(J15-Parametros!$B$4)/(Parametros!$B$5-Parametros!$B$4)*(Parametros!$B$7-Parametros!$B$6)</f>
        <v>83.812316715542522</v>
      </c>
      <c r="L15" s="1" t="str">
        <f>IF(OR(K15&lt;0,K15&gt;100),"FALHA",IF(K15&gt;=Parametros!$B$13,"PERIGO",IF(K15&gt;=Parametros!$B$12,"ATENCAO","NORMAL")))</f>
        <v>ATENCAO</v>
      </c>
      <c r="M15" s="3">
        <f>Parametros!$B$12</f>
        <v>70</v>
      </c>
      <c r="N15" s="3">
        <f>Parametros!$B$13</f>
        <v>85</v>
      </c>
    </row>
    <row r="16" spans="1:14" x14ac:dyDescent="0.25">
      <c r="A16" s="1">
        <f>Dados_Brutos!A16</f>
        <v>12</v>
      </c>
      <c r="B16" s="1">
        <f>Dados_Brutos!B16</f>
        <v>1</v>
      </c>
      <c r="C16" s="1">
        <f>Dados_Brutos!C16</f>
        <v>1023</v>
      </c>
      <c r="D16" s="3">
        <f>(C16-Parametros!$B$4)/(Parametros!$B$5-Parametros!$B$4)*100</f>
        <v>100</v>
      </c>
      <c r="E16" s="3">
        <f>Parametros!$B$6+D16/100*(Parametros!$B$7-Parametros!$B$6)</f>
        <v>100</v>
      </c>
      <c r="F16" s="3">
        <f>Parametros!$B$8+D16/100*(Parametros!$B$9-Parametros!$B$8)</f>
        <v>20</v>
      </c>
      <c r="G16" s="3">
        <f>Parametros!$B$10+D16/100*(Parametros!$B$11-Parametros!$B$10)</f>
        <v>10</v>
      </c>
      <c r="H16" s="1" t="str">
        <f>IF(OR(D16&lt;0,D16&gt;100),"FALHA",IF(D16&gt;=Parametros!$B$13,"PERIGO",IF(D16&gt;=Parametros!$B$12,"ATENCAO","NORMAL")))</f>
        <v>PERIGO</v>
      </c>
      <c r="I16" s="1" t="str">
        <f t="shared" si="0"/>
        <v>ON</v>
      </c>
      <c r="J16" s="3">
        <f t="shared" si="1"/>
        <v>908.4</v>
      </c>
      <c r="K16" s="3">
        <f>Parametros!$B$6+(J16-Parametros!$B$4)/(Parametros!$B$5-Parametros!$B$4)*(Parametros!$B$7-Parametros!$B$6)</f>
        <v>88.797653958944281</v>
      </c>
      <c r="L16" s="1" t="str">
        <f>IF(OR(K16&lt;0,K16&gt;100),"FALHA",IF(K16&gt;=Parametros!$B$13,"PERIGO",IF(K16&gt;=Parametros!$B$12,"ATENCAO","NORMAL")))</f>
        <v>PERIGO</v>
      </c>
      <c r="M16" s="3">
        <f>Parametros!$B$12</f>
        <v>70</v>
      </c>
      <c r="N16" s="3">
        <f>Parametros!$B$13</f>
        <v>85</v>
      </c>
    </row>
    <row r="17" spans="1:14" x14ac:dyDescent="0.25">
      <c r="A17" s="1">
        <f>Dados_Brutos!A17</f>
        <v>13</v>
      </c>
      <c r="B17" s="1">
        <f>Dados_Brutos!B17</f>
        <v>0</v>
      </c>
      <c r="C17" s="1">
        <f>Dados_Brutos!C17</f>
        <v>900</v>
      </c>
      <c r="D17" s="3">
        <f>(C17-Parametros!$B$4)/(Parametros!$B$5-Parametros!$B$4)*100</f>
        <v>87.976539589442808</v>
      </c>
      <c r="E17" s="3">
        <f>Parametros!$B$6+D17/100*(Parametros!$B$7-Parametros!$B$6)</f>
        <v>87.976539589442808</v>
      </c>
      <c r="F17" s="3">
        <f>Parametros!$B$8+D17/100*(Parametros!$B$9-Parametros!$B$8)</f>
        <v>18.076246334310849</v>
      </c>
      <c r="G17" s="3">
        <f>Parametros!$B$10+D17/100*(Parametros!$B$11-Parametros!$B$10)</f>
        <v>8.7976539589442808</v>
      </c>
      <c r="H17" s="1" t="str">
        <f>IF(OR(D17&lt;0,D17&gt;100),"FALHA",IF(D17&gt;=Parametros!$B$13,"PERIGO",IF(D17&gt;=Parametros!$B$12,"ATENCAO","NORMAL")))</f>
        <v>PERIGO</v>
      </c>
      <c r="I17" s="1" t="str">
        <f t="shared" si="0"/>
        <v>ON</v>
      </c>
      <c r="J17" s="3">
        <f t="shared" si="1"/>
        <v>922.4</v>
      </c>
      <c r="K17" s="3">
        <f>Parametros!$B$6+(J17-Parametros!$B$4)/(Parametros!$B$5-Parametros!$B$4)*(Parametros!$B$7-Parametros!$B$6)</f>
        <v>90.166177908113383</v>
      </c>
      <c r="L17" s="1" t="str">
        <f>IF(OR(K17&lt;0,K17&gt;100),"FALHA",IF(K17&gt;=Parametros!$B$13,"PERIGO",IF(K17&gt;=Parametros!$B$12,"ATENCAO","NORMAL")))</f>
        <v>PERIGO</v>
      </c>
      <c r="M17" s="3">
        <f>Parametros!$B$12</f>
        <v>70</v>
      </c>
      <c r="N17" s="3">
        <f>Parametros!$B$13</f>
        <v>85</v>
      </c>
    </row>
    <row r="18" spans="1:14" x14ac:dyDescent="0.25">
      <c r="A18" s="1">
        <f>Dados_Brutos!A18</f>
        <v>14</v>
      </c>
      <c r="B18" s="1">
        <f>Dados_Brutos!B18</f>
        <v>0</v>
      </c>
      <c r="C18" s="1">
        <f>Dados_Brutos!C18</f>
        <v>800</v>
      </c>
      <c r="D18" s="3">
        <f>(C18-Parametros!$B$4)/(Parametros!$B$5-Parametros!$B$4)*100</f>
        <v>78.201368523949171</v>
      </c>
      <c r="E18" s="3">
        <f>Parametros!$B$6+D18/100*(Parametros!$B$7-Parametros!$B$6)</f>
        <v>78.201368523949171</v>
      </c>
      <c r="F18" s="3">
        <f>Parametros!$B$8+D18/100*(Parametros!$B$9-Parametros!$B$8)</f>
        <v>16.512218963831867</v>
      </c>
      <c r="G18" s="3">
        <f>Parametros!$B$10+D18/100*(Parametros!$B$11-Parametros!$B$10)</f>
        <v>7.8201368523949171</v>
      </c>
      <c r="H18" s="1" t="str">
        <f>IF(OR(D18&lt;0,D18&gt;100),"FALHA",IF(D18&gt;=Parametros!$B$13,"PERIGO",IF(D18&gt;=Parametros!$B$12,"ATENCAO","NORMAL")))</f>
        <v>ATENCAO</v>
      </c>
      <c r="I18" s="1" t="str">
        <f t="shared" si="0"/>
        <v>OFF</v>
      </c>
      <c r="J18" s="3">
        <f t="shared" si="1"/>
        <v>908.6</v>
      </c>
      <c r="K18" s="3">
        <f>Parametros!$B$6+(J18-Parametros!$B$4)/(Parametros!$B$5-Parametros!$B$4)*(Parametros!$B$7-Parametros!$B$6)</f>
        <v>88.817204301075265</v>
      </c>
      <c r="L18" s="1" t="str">
        <f>IF(OR(K18&lt;0,K18&gt;100),"FALHA",IF(K18&gt;=Parametros!$B$13,"PERIGO",IF(K18&gt;=Parametros!$B$12,"ATENCAO","NORMAL")))</f>
        <v>PERIGO</v>
      </c>
      <c r="M18" s="3">
        <f>Parametros!$B$12</f>
        <v>70</v>
      </c>
      <c r="N18" s="3">
        <f>Parametros!$B$13</f>
        <v>85</v>
      </c>
    </row>
    <row r="19" spans="1:14" x14ac:dyDescent="0.25">
      <c r="A19" s="1">
        <f>Dados_Brutos!A19</f>
        <v>15</v>
      </c>
      <c r="B19" s="1">
        <f>Dados_Brutos!B19</f>
        <v>0</v>
      </c>
      <c r="C19" s="1">
        <f>Dados_Brutos!C19</f>
        <v>700</v>
      </c>
      <c r="D19" s="3">
        <f>(C19-Parametros!$B$4)/(Parametros!$B$5-Parametros!$B$4)*100</f>
        <v>68.426197458455519</v>
      </c>
      <c r="E19" s="3">
        <f>Parametros!$B$6+D19/100*(Parametros!$B$7-Parametros!$B$6)</f>
        <v>68.426197458455519</v>
      </c>
      <c r="F19" s="3">
        <f>Parametros!$B$8+D19/100*(Parametros!$B$9-Parametros!$B$8)</f>
        <v>14.948191593352883</v>
      </c>
      <c r="G19" s="3">
        <f>Parametros!$B$10+D19/100*(Parametros!$B$11-Parametros!$B$10)</f>
        <v>6.8426197458455515</v>
      </c>
      <c r="H19" s="1" t="str">
        <f>IF(OR(D19&lt;0,D19&gt;100),"FALHA",IF(D19&gt;=Parametros!$B$13,"PERIGO",IF(D19&gt;=Parametros!$B$12,"ATENCAO","NORMAL")))</f>
        <v>NORMAL</v>
      </c>
      <c r="I19" s="1" t="str">
        <f t="shared" si="0"/>
        <v>OFF</v>
      </c>
      <c r="J19" s="3">
        <f t="shared" si="1"/>
        <v>874.6</v>
      </c>
      <c r="K19" s="3">
        <f>Parametros!$B$6+(J19-Parametros!$B$4)/(Parametros!$B$5-Parametros!$B$4)*(Parametros!$B$7-Parametros!$B$6)</f>
        <v>85.493646138807435</v>
      </c>
      <c r="L19" s="1" t="str">
        <f>IF(OR(K19&lt;0,K19&gt;100),"FALHA",IF(K19&gt;=Parametros!$B$13,"PERIGO",IF(K19&gt;=Parametros!$B$12,"ATENCAO","NORMAL")))</f>
        <v>PERIGO</v>
      </c>
      <c r="M19" s="3">
        <f>Parametros!$B$12</f>
        <v>70</v>
      </c>
      <c r="N19" s="3">
        <f>Parametros!$B$13</f>
        <v>85</v>
      </c>
    </row>
  </sheetData>
  <mergeCells count="2">
    <mergeCell ref="A2:N2"/>
    <mergeCell ref="A1:N1"/>
  </mergeCells>
  <conditionalFormatting sqref="H5:H19">
    <cfRule type="expression" dxfId="29" priority="1">
      <formula>H5="NORMAL"</formula>
    </cfRule>
    <cfRule type="expression" dxfId="28" priority="2">
      <formula>H5="ATENCAO"</formula>
    </cfRule>
    <cfRule type="expression" dxfId="27" priority="3">
      <formula>H5="PERIGO"</formula>
    </cfRule>
    <cfRule type="expression" dxfId="26" priority="4">
      <formula>H5="FALHA"</formula>
    </cfRule>
  </conditionalFormatting>
  <conditionalFormatting sqref="L5:L19">
    <cfRule type="expression" dxfId="25" priority="5">
      <formula>L5="NORMAL"</formula>
    </cfRule>
    <cfRule type="expression" dxfId="24" priority="6">
      <formula>L5="ATENCAO"</formula>
    </cfRule>
    <cfRule type="expression" dxfId="23" priority="7">
      <formula>L5="PERIGO"</formula>
    </cfRule>
    <cfRule type="expression" dxfId="22" priority="8">
      <formula>L5="FALHA"</formula>
    </cfRule>
  </conditionalFormatting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64A2"/>
    <pageSetUpPr fitToPage="1"/>
  </sheetPr>
  <dimension ref="A1:M26"/>
  <sheetViews>
    <sheetView showGridLines="0" zoomScale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5" customWidth="1"/>
    <col min="4" max="4" width="14" customWidth="1"/>
    <col min="5" max="6" width="11" customWidth="1"/>
    <col min="7" max="8" width="10" customWidth="1"/>
    <col min="9" max="10" width="14" customWidth="1"/>
    <col min="11" max="11" width="11" customWidth="1"/>
    <col min="12" max="12" width="10" customWidth="1"/>
    <col min="13" max="13" width="12" customWidth="1"/>
  </cols>
  <sheetData>
    <row r="1" spans="1:13" ht="33.950000000000003" customHeight="1" x14ac:dyDescent="0.25">
      <c r="A1" s="9" t="s">
        <v>161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ht="21.95" customHeight="1" x14ac:dyDescent="0.25">
      <c r="A3" s="10" t="s">
        <v>162</v>
      </c>
      <c r="B3" s="8"/>
      <c r="C3" s="8"/>
      <c r="D3" s="8"/>
      <c r="E3" s="8"/>
    </row>
    <row r="4" spans="1:13" ht="32.1" customHeight="1" x14ac:dyDescent="0.25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</row>
    <row r="5" spans="1:13" x14ac:dyDescent="0.25">
      <c r="A5" s="1" t="s">
        <v>168</v>
      </c>
      <c r="B5" s="3">
        <v>-1</v>
      </c>
      <c r="C5" s="1" t="s">
        <v>19</v>
      </c>
      <c r="D5" s="1" t="str">
        <f>IF(OR(B5&lt;0,B5&gt;100),"FALHA",IF(B5&gt;=Parametros!$B$13,"PERIGO",IF(B5&gt;=Parametros!$B$12,"ATENCAO","NORMAL")))</f>
        <v>FALHA</v>
      </c>
      <c r="E5" s="1" t="str">
        <f t="shared" ref="E5:E12" si="0">IF(C5=D5,"CONFORME","REVISAR")</f>
        <v>CONFORME</v>
      </c>
    </row>
    <row r="6" spans="1:13" x14ac:dyDescent="0.25">
      <c r="A6" s="1" t="s">
        <v>169</v>
      </c>
      <c r="B6" s="3">
        <v>0</v>
      </c>
      <c r="C6" s="1" t="s">
        <v>7</v>
      </c>
      <c r="D6" s="1" t="str">
        <f>IF(OR(B6&lt;0,B6&gt;100),"FALHA",IF(B6&gt;=Parametros!$B$13,"PERIGO",IF(B6&gt;=Parametros!$B$12,"ATENCAO","NORMAL")))</f>
        <v>NORMAL</v>
      </c>
      <c r="E6" s="1" t="str">
        <f t="shared" si="0"/>
        <v>CONFORME</v>
      </c>
    </row>
    <row r="7" spans="1:13" x14ac:dyDescent="0.25">
      <c r="A7" s="1" t="s">
        <v>170</v>
      </c>
      <c r="B7" s="3">
        <v>69.989999999999995</v>
      </c>
      <c r="C7" s="1" t="s">
        <v>7</v>
      </c>
      <c r="D7" s="1" t="str">
        <f>IF(OR(B7&lt;0,B7&gt;100),"FALHA",IF(B7&gt;=Parametros!$B$13,"PERIGO",IF(B7&gt;=Parametros!$B$12,"ATENCAO","NORMAL")))</f>
        <v>NORMAL</v>
      </c>
      <c r="E7" s="1" t="str">
        <f t="shared" si="0"/>
        <v>CONFORME</v>
      </c>
    </row>
    <row r="8" spans="1:13" x14ac:dyDescent="0.25">
      <c r="A8" s="1" t="s">
        <v>171</v>
      </c>
      <c r="B8" s="3">
        <v>70</v>
      </c>
      <c r="C8" s="1" t="s">
        <v>11</v>
      </c>
      <c r="D8" s="1" t="str">
        <f>IF(OR(B8&lt;0,B8&gt;100),"FALHA",IF(B8&gt;=Parametros!$B$13,"PERIGO",IF(B8&gt;=Parametros!$B$12,"ATENCAO","NORMAL")))</f>
        <v>ATENCAO</v>
      </c>
      <c r="E8" s="1" t="str">
        <f t="shared" si="0"/>
        <v>CONFORME</v>
      </c>
    </row>
    <row r="9" spans="1:13" x14ac:dyDescent="0.25">
      <c r="A9" s="1" t="s">
        <v>172</v>
      </c>
      <c r="B9" s="3">
        <v>84.99</v>
      </c>
      <c r="C9" s="1" t="s">
        <v>11</v>
      </c>
      <c r="D9" s="1" t="str">
        <f>IF(OR(B9&lt;0,B9&gt;100),"FALHA",IF(B9&gt;=Parametros!$B$13,"PERIGO",IF(B9&gt;=Parametros!$B$12,"ATENCAO","NORMAL")))</f>
        <v>ATENCAO</v>
      </c>
      <c r="E9" s="1" t="str">
        <f t="shared" si="0"/>
        <v>CONFORME</v>
      </c>
    </row>
    <row r="10" spans="1:13" x14ac:dyDescent="0.25">
      <c r="A10" s="1" t="s">
        <v>173</v>
      </c>
      <c r="B10" s="3">
        <v>85</v>
      </c>
      <c r="C10" s="1" t="s">
        <v>15</v>
      </c>
      <c r="D10" s="1" t="str">
        <f>IF(OR(B10&lt;0,B10&gt;100),"FALHA",IF(B10&gt;=Parametros!$B$13,"PERIGO",IF(B10&gt;=Parametros!$B$12,"ATENCAO","NORMAL")))</f>
        <v>PERIGO</v>
      </c>
      <c r="E10" s="1" t="str">
        <f t="shared" si="0"/>
        <v>CONFORME</v>
      </c>
    </row>
    <row r="11" spans="1:13" x14ac:dyDescent="0.25">
      <c r="A11" s="1" t="s">
        <v>174</v>
      </c>
      <c r="B11" s="3">
        <v>100</v>
      </c>
      <c r="C11" s="1" t="s">
        <v>15</v>
      </c>
      <c r="D11" s="1" t="str">
        <f>IF(OR(B11&lt;0,B11&gt;100),"FALHA",IF(B11&gt;=Parametros!$B$13,"PERIGO",IF(B11&gt;=Parametros!$B$12,"ATENCAO","NORMAL")))</f>
        <v>PERIGO</v>
      </c>
      <c r="E11" s="1" t="str">
        <f t="shared" si="0"/>
        <v>CONFORME</v>
      </c>
    </row>
    <row r="12" spans="1:13" x14ac:dyDescent="0.25">
      <c r="A12" s="1" t="s">
        <v>175</v>
      </c>
      <c r="B12" s="3">
        <v>100.01</v>
      </c>
      <c r="C12" s="1" t="s">
        <v>19</v>
      </c>
      <c r="D12" s="1" t="str">
        <f>IF(OR(B12&lt;0,B12&gt;100),"FALHA",IF(B12&gt;=Parametros!$B$13,"PERIGO",IF(B12&gt;=Parametros!$B$12,"ATENCAO","NORMAL")))</f>
        <v>FALHA</v>
      </c>
      <c r="E12" s="1" t="str">
        <f t="shared" si="0"/>
        <v>CONFORME</v>
      </c>
    </row>
    <row r="16" spans="1:13" ht="21.95" customHeight="1" x14ac:dyDescent="0.25">
      <c r="A16" s="10" t="s">
        <v>176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32.1" customHeight="1" x14ac:dyDescent="0.25">
      <c r="A17" s="2" t="s">
        <v>163</v>
      </c>
      <c r="B17" s="2" t="s">
        <v>133</v>
      </c>
      <c r="C17" s="2" t="s">
        <v>177</v>
      </c>
      <c r="D17" s="2" t="s">
        <v>178</v>
      </c>
      <c r="E17" s="2" t="s">
        <v>179</v>
      </c>
      <c r="F17" s="2" t="s">
        <v>180</v>
      </c>
      <c r="G17" s="2" t="s">
        <v>70</v>
      </c>
      <c r="H17" s="2" t="s">
        <v>75</v>
      </c>
      <c r="I17" s="2" t="s">
        <v>181</v>
      </c>
      <c r="J17" s="2" t="s">
        <v>182</v>
      </c>
      <c r="K17" s="2" t="s">
        <v>183</v>
      </c>
      <c r="L17" s="2" t="s">
        <v>184</v>
      </c>
      <c r="M17" s="2" t="s">
        <v>167</v>
      </c>
    </row>
    <row r="18" spans="1:13" x14ac:dyDescent="0.25">
      <c r="A18" s="1" t="s">
        <v>185</v>
      </c>
      <c r="B18" s="1">
        <v>0</v>
      </c>
      <c r="C18" s="4">
        <f>(B18-Parametros!$B$4)/(Parametros!$B$5-Parametros!$B$4)*100</f>
        <v>0</v>
      </c>
      <c r="D18" s="4">
        <v>0</v>
      </c>
      <c r="E18" s="4">
        <f t="shared" ref="E18:E26" si="1">ABS(C18-D18)</f>
        <v>0</v>
      </c>
      <c r="F18" s="4">
        <f>Parametros!$B$6+C18/100*(Parametros!$B$7-Parametros!$B$6)</f>
        <v>0</v>
      </c>
      <c r="G18" s="4">
        <f>Parametros!$B$8+C18/100*(Parametros!$B$9-Parametros!$B$8)</f>
        <v>4</v>
      </c>
      <c r="H18" s="4">
        <f>Parametros!$B$10+C18/100*(Parametros!$B$11-Parametros!$B$10)</f>
        <v>0</v>
      </c>
      <c r="I18" s="1" t="str">
        <f>IF(OR(C18&lt;0,C18&gt;100),"FALHA",IF(C18&gt;=Parametros!$B$13,"PERIGO",IF(C18&gt;=Parametros!$B$12,"ATENCAO","NORMAL")))</f>
        <v>NORMAL</v>
      </c>
      <c r="J18" s="1" t="s">
        <v>7</v>
      </c>
      <c r="K18" s="1" t="str">
        <f t="shared" ref="K18:K26" si="2">IF(I18="PERIGO","ON","OFF")</f>
        <v>OFF</v>
      </c>
      <c r="L18" s="1" t="s">
        <v>186</v>
      </c>
      <c r="M18" s="1" t="str">
        <f t="shared" ref="M18:M26" si="3">IF(AND(E18&lt;0.0001,I18=J18,K18=L18),"CONFORME","REVISAR")</f>
        <v>CONFORME</v>
      </c>
    </row>
    <row r="19" spans="1:13" x14ac:dyDescent="0.25">
      <c r="A19" s="1" t="s">
        <v>187</v>
      </c>
      <c r="B19" s="1">
        <v>256</v>
      </c>
      <c r="C19" s="4">
        <f>(B19-Parametros!$B$4)/(Parametros!$B$5-Parametros!$B$4)*100</f>
        <v>25.024437927663733</v>
      </c>
      <c r="D19" s="4">
        <v>25.02443792766373</v>
      </c>
      <c r="E19" s="4">
        <f t="shared" si="1"/>
        <v>3.5527136788005009E-15</v>
      </c>
      <c r="F19" s="4">
        <f>Parametros!$B$6+C19/100*(Parametros!$B$7-Parametros!$B$6)</f>
        <v>25.024437927663733</v>
      </c>
      <c r="G19" s="4">
        <f>Parametros!$B$8+C19/100*(Parametros!$B$9-Parametros!$B$8)</f>
        <v>8.0039100684261975</v>
      </c>
      <c r="H19" s="4">
        <f>Parametros!$B$10+C19/100*(Parametros!$B$11-Parametros!$B$10)</f>
        <v>2.5024437927663734</v>
      </c>
      <c r="I19" s="1" t="str">
        <f>IF(OR(C19&lt;0,C19&gt;100),"FALHA",IF(C19&gt;=Parametros!$B$13,"PERIGO",IF(C19&gt;=Parametros!$B$12,"ATENCAO","NORMAL")))</f>
        <v>NORMAL</v>
      </c>
      <c r="J19" s="1" t="s">
        <v>7</v>
      </c>
      <c r="K19" s="1" t="str">
        <f t="shared" si="2"/>
        <v>OFF</v>
      </c>
      <c r="L19" s="1" t="s">
        <v>186</v>
      </c>
      <c r="M19" s="1" t="str">
        <f t="shared" si="3"/>
        <v>CONFORME</v>
      </c>
    </row>
    <row r="20" spans="1:13" x14ac:dyDescent="0.25">
      <c r="A20" s="1" t="s">
        <v>188</v>
      </c>
      <c r="B20" s="1">
        <v>512</v>
      </c>
      <c r="C20" s="4">
        <f>(B20-Parametros!$B$4)/(Parametros!$B$5-Parametros!$B$4)*100</f>
        <v>50.048875855327466</v>
      </c>
      <c r="D20" s="4">
        <v>50.048875855327474</v>
      </c>
      <c r="E20" s="4">
        <f t="shared" si="1"/>
        <v>7.1054273576010019E-15</v>
      </c>
      <c r="F20" s="4">
        <f>Parametros!$B$6+C20/100*(Parametros!$B$7-Parametros!$B$6)</f>
        <v>50.048875855327466</v>
      </c>
      <c r="G20" s="4">
        <f>Parametros!$B$8+C20/100*(Parametros!$B$9-Parametros!$B$8)</f>
        <v>12.007820136852395</v>
      </c>
      <c r="H20" s="4">
        <f>Parametros!$B$10+C20/100*(Parametros!$B$11-Parametros!$B$10)</f>
        <v>5.0048875855327468</v>
      </c>
      <c r="I20" s="1" t="str">
        <f>IF(OR(C20&lt;0,C20&gt;100),"FALHA",IF(C20&gt;=Parametros!$B$13,"PERIGO",IF(C20&gt;=Parametros!$B$12,"ATENCAO","NORMAL")))</f>
        <v>NORMAL</v>
      </c>
      <c r="J20" s="1" t="s">
        <v>7</v>
      </c>
      <c r="K20" s="1" t="str">
        <f t="shared" si="2"/>
        <v>OFF</v>
      </c>
      <c r="L20" s="1" t="s">
        <v>186</v>
      </c>
      <c r="M20" s="1" t="str">
        <f t="shared" si="3"/>
        <v>CONFORME</v>
      </c>
    </row>
    <row r="21" spans="1:13" x14ac:dyDescent="0.25">
      <c r="A21" s="1" t="s">
        <v>189</v>
      </c>
      <c r="B21" s="1">
        <v>716</v>
      </c>
      <c r="C21" s="4">
        <f>(B21-Parametros!$B$4)/(Parametros!$B$5-Parametros!$B$4)*100</f>
        <v>69.990224828934515</v>
      </c>
      <c r="D21" s="4">
        <v>69.990224828934501</v>
      </c>
      <c r="E21" s="4">
        <f t="shared" si="1"/>
        <v>1.4210854715202004E-14</v>
      </c>
      <c r="F21" s="4">
        <f>Parametros!$B$6+C21/100*(Parametros!$B$7-Parametros!$B$6)</f>
        <v>69.990224828934515</v>
      </c>
      <c r="G21" s="4">
        <f>Parametros!$B$8+C21/100*(Parametros!$B$9-Parametros!$B$8)</f>
        <v>15.198435972629522</v>
      </c>
      <c r="H21" s="4">
        <f>Parametros!$B$10+C21/100*(Parametros!$B$11-Parametros!$B$10)</f>
        <v>6.9990224828934515</v>
      </c>
      <c r="I21" s="1" t="str">
        <f>IF(OR(C21&lt;0,C21&gt;100),"FALHA",IF(C21&gt;=Parametros!$B$13,"PERIGO",IF(C21&gt;=Parametros!$B$12,"ATENCAO","NORMAL")))</f>
        <v>NORMAL</v>
      </c>
      <c r="J21" s="1" t="s">
        <v>7</v>
      </c>
      <c r="K21" s="1" t="str">
        <f t="shared" si="2"/>
        <v>OFF</v>
      </c>
      <c r="L21" s="1" t="s">
        <v>186</v>
      </c>
      <c r="M21" s="1" t="str">
        <f t="shared" si="3"/>
        <v>CONFORME</v>
      </c>
    </row>
    <row r="22" spans="1:13" x14ac:dyDescent="0.25">
      <c r="A22" s="1" t="s">
        <v>190</v>
      </c>
      <c r="B22" s="1">
        <v>717</v>
      </c>
      <c r="C22" s="4">
        <f>(B22-Parametros!$B$4)/(Parametros!$B$5-Parametros!$B$4)*100</f>
        <v>70.087976539589448</v>
      </c>
      <c r="D22" s="4">
        <v>70.087976539589448</v>
      </c>
      <c r="E22" s="4">
        <f t="shared" si="1"/>
        <v>0</v>
      </c>
      <c r="F22" s="4">
        <f>Parametros!$B$6+C22/100*(Parametros!$B$7-Parametros!$B$6)</f>
        <v>70.087976539589448</v>
      </c>
      <c r="G22" s="4">
        <f>Parametros!$B$8+C22/100*(Parametros!$B$9-Parametros!$B$8)</f>
        <v>15.214076246334312</v>
      </c>
      <c r="H22" s="4">
        <f>Parametros!$B$10+C22/100*(Parametros!$B$11-Parametros!$B$10)</f>
        <v>7.0087976539589452</v>
      </c>
      <c r="I22" s="1" t="str">
        <f>IF(OR(C22&lt;0,C22&gt;100),"FALHA",IF(C22&gt;=Parametros!$B$13,"PERIGO",IF(C22&gt;=Parametros!$B$12,"ATENCAO","NORMAL")))</f>
        <v>ATENCAO</v>
      </c>
      <c r="J22" s="1" t="s">
        <v>11</v>
      </c>
      <c r="K22" s="1" t="str">
        <f t="shared" si="2"/>
        <v>OFF</v>
      </c>
      <c r="L22" s="1" t="s">
        <v>186</v>
      </c>
      <c r="M22" s="1" t="str">
        <f t="shared" si="3"/>
        <v>CONFORME</v>
      </c>
    </row>
    <row r="23" spans="1:13" x14ac:dyDescent="0.25">
      <c r="A23" s="1" t="s">
        <v>191</v>
      </c>
      <c r="B23" s="1">
        <v>768</v>
      </c>
      <c r="C23" s="4">
        <f>(B23-Parametros!$B$4)/(Parametros!$B$5-Parametros!$B$4)*100</f>
        <v>75.073313782991207</v>
      </c>
      <c r="D23" s="4">
        <v>75.073313782991207</v>
      </c>
      <c r="E23" s="4">
        <f t="shared" si="1"/>
        <v>0</v>
      </c>
      <c r="F23" s="4">
        <f>Parametros!$B$6+C23/100*(Parametros!$B$7-Parametros!$B$6)</f>
        <v>75.073313782991207</v>
      </c>
      <c r="G23" s="4">
        <f>Parametros!$B$8+C23/100*(Parametros!$B$9-Parametros!$B$8)</f>
        <v>16.011730205278592</v>
      </c>
      <c r="H23" s="4">
        <f>Parametros!$B$10+C23/100*(Parametros!$B$11-Parametros!$B$10)</f>
        <v>7.5073313782991207</v>
      </c>
      <c r="I23" s="1" t="str">
        <f>IF(OR(C23&lt;0,C23&gt;100),"FALHA",IF(C23&gt;=Parametros!$B$13,"PERIGO",IF(C23&gt;=Parametros!$B$12,"ATENCAO","NORMAL")))</f>
        <v>ATENCAO</v>
      </c>
      <c r="J23" s="1" t="s">
        <v>11</v>
      </c>
      <c r="K23" s="1" t="str">
        <f t="shared" si="2"/>
        <v>OFF</v>
      </c>
      <c r="L23" s="1" t="s">
        <v>186</v>
      </c>
      <c r="M23" s="1" t="str">
        <f t="shared" si="3"/>
        <v>CONFORME</v>
      </c>
    </row>
    <row r="24" spans="1:13" x14ac:dyDescent="0.25">
      <c r="A24" s="1" t="s">
        <v>192</v>
      </c>
      <c r="B24" s="1">
        <v>869</v>
      </c>
      <c r="C24" s="4">
        <f>(B24-Parametros!$B$4)/(Parametros!$B$5-Parametros!$B$4)*100</f>
        <v>84.946236559139791</v>
      </c>
      <c r="D24" s="4">
        <v>84.946236559139791</v>
      </c>
      <c r="E24" s="4">
        <f t="shared" si="1"/>
        <v>0</v>
      </c>
      <c r="F24" s="4">
        <f>Parametros!$B$6+C24/100*(Parametros!$B$7-Parametros!$B$6)</f>
        <v>84.946236559139791</v>
      </c>
      <c r="G24" s="4">
        <f>Parametros!$B$8+C24/100*(Parametros!$B$9-Parametros!$B$8)</f>
        <v>17.591397849462368</v>
      </c>
      <c r="H24" s="4">
        <f>Parametros!$B$10+C24/100*(Parametros!$B$11-Parametros!$B$10)</f>
        <v>8.4946236559139781</v>
      </c>
      <c r="I24" s="1" t="str">
        <f>IF(OR(C24&lt;0,C24&gt;100),"FALHA",IF(C24&gt;=Parametros!$B$13,"PERIGO",IF(C24&gt;=Parametros!$B$12,"ATENCAO","NORMAL")))</f>
        <v>ATENCAO</v>
      </c>
      <c r="J24" s="1" t="s">
        <v>11</v>
      </c>
      <c r="K24" s="1" t="str">
        <f t="shared" si="2"/>
        <v>OFF</v>
      </c>
      <c r="L24" s="1" t="s">
        <v>186</v>
      </c>
      <c r="M24" s="1" t="str">
        <f t="shared" si="3"/>
        <v>CONFORME</v>
      </c>
    </row>
    <row r="25" spans="1:13" x14ac:dyDescent="0.25">
      <c r="A25" s="1" t="s">
        <v>193</v>
      </c>
      <c r="B25" s="1">
        <v>870</v>
      </c>
      <c r="C25" s="4">
        <f>(B25-Parametros!$B$4)/(Parametros!$B$5-Parametros!$B$4)*100</f>
        <v>85.043988269794724</v>
      </c>
      <c r="D25" s="4">
        <v>85.043988269794724</v>
      </c>
      <c r="E25" s="4">
        <f t="shared" si="1"/>
        <v>0</v>
      </c>
      <c r="F25" s="4">
        <f>Parametros!$B$6+C25/100*(Parametros!$B$7-Parametros!$B$6)</f>
        <v>85.043988269794724</v>
      </c>
      <c r="G25" s="4">
        <f>Parametros!$B$8+C25/100*(Parametros!$B$9-Parametros!$B$8)</f>
        <v>17.607038123167158</v>
      </c>
      <c r="H25" s="4">
        <f>Parametros!$B$10+C25/100*(Parametros!$B$11-Parametros!$B$10)</f>
        <v>8.5043988269794717</v>
      </c>
      <c r="I25" s="1" t="str">
        <f>IF(OR(C25&lt;0,C25&gt;100),"FALHA",IF(C25&gt;=Parametros!$B$13,"PERIGO",IF(C25&gt;=Parametros!$B$12,"ATENCAO","NORMAL")))</f>
        <v>PERIGO</v>
      </c>
      <c r="J25" s="1" t="s">
        <v>15</v>
      </c>
      <c r="K25" s="1" t="str">
        <f t="shared" si="2"/>
        <v>ON</v>
      </c>
      <c r="L25" s="1" t="s">
        <v>194</v>
      </c>
      <c r="M25" s="1" t="str">
        <f t="shared" si="3"/>
        <v>CONFORME</v>
      </c>
    </row>
    <row r="26" spans="1:13" x14ac:dyDescent="0.25">
      <c r="A26" s="1" t="s">
        <v>195</v>
      </c>
      <c r="B26" s="1">
        <v>1023</v>
      </c>
      <c r="C26" s="4">
        <f>(B26-Parametros!$B$4)/(Parametros!$B$5-Parametros!$B$4)*100</f>
        <v>100</v>
      </c>
      <c r="D26" s="4">
        <v>100</v>
      </c>
      <c r="E26" s="4">
        <f t="shared" si="1"/>
        <v>0</v>
      </c>
      <c r="F26" s="4">
        <f>Parametros!$B$6+C26/100*(Parametros!$B$7-Parametros!$B$6)</f>
        <v>100</v>
      </c>
      <c r="G26" s="4">
        <f>Parametros!$B$8+C26/100*(Parametros!$B$9-Parametros!$B$8)</f>
        <v>20</v>
      </c>
      <c r="H26" s="4">
        <f>Parametros!$B$10+C26/100*(Parametros!$B$11-Parametros!$B$10)</f>
        <v>10</v>
      </c>
      <c r="I26" s="1" t="str">
        <f>IF(OR(C26&lt;0,C26&gt;100),"FALHA",IF(C26&gt;=Parametros!$B$13,"PERIGO",IF(C26&gt;=Parametros!$B$12,"ATENCAO","NORMAL")))</f>
        <v>PERIGO</v>
      </c>
      <c r="J26" s="1" t="s">
        <v>15</v>
      </c>
      <c r="K26" s="1" t="str">
        <f t="shared" si="2"/>
        <v>ON</v>
      </c>
      <c r="L26" s="1" t="s">
        <v>194</v>
      </c>
      <c r="M26" s="1" t="str">
        <f t="shared" si="3"/>
        <v>CONFORME</v>
      </c>
    </row>
  </sheetData>
  <mergeCells count="3">
    <mergeCell ref="A16:M16"/>
    <mergeCell ref="A1:M1"/>
    <mergeCell ref="A3:E3"/>
  </mergeCells>
  <conditionalFormatting sqref="D5:D12">
    <cfRule type="expression" dxfId="21" priority="1">
      <formula>D5="NORMAL"</formula>
    </cfRule>
    <cfRule type="expression" dxfId="20" priority="2">
      <formula>D5="ATENCAO"</formula>
    </cfRule>
    <cfRule type="expression" dxfId="19" priority="3">
      <formula>D5="PERIGO"</formula>
    </cfRule>
    <cfRule type="expression" dxfId="18" priority="4">
      <formula>D5="FALHA"</formula>
    </cfRule>
  </conditionalFormatting>
  <conditionalFormatting sqref="E5:E12">
    <cfRule type="expression" dxfId="17" priority="5">
      <formula>E5="CONFORME"</formula>
    </cfRule>
    <cfRule type="expression" dxfId="16" priority="6">
      <formula>E5="REVISAR"</formula>
    </cfRule>
  </conditionalFormatting>
  <conditionalFormatting sqref="I18:I26">
    <cfRule type="expression" dxfId="15" priority="7">
      <formula>I18="NORMAL"</formula>
    </cfRule>
    <cfRule type="expression" dxfId="14" priority="8">
      <formula>I18="ATENCAO"</formula>
    </cfRule>
    <cfRule type="expression" dxfId="13" priority="9">
      <formula>I18="PERIGO"</formula>
    </cfRule>
    <cfRule type="expression" dxfId="12" priority="10">
      <formula>I18="FALHA"</formula>
    </cfRule>
  </conditionalFormatting>
  <conditionalFormatting sqref="M18:M26">
    <cfRule type="expression" dxfId="11" priority="11">
      <formula>M18="CONFORME"</formula>
    </cfRule>
    <cfRule type="expression" dxfId="10" priority="12">
      <formula>M18="REVISAR"</formula>
    </cfRule>
  </conditionalFormatting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H15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18" customWidth="1"/>
    <col min="4" max="4" width="17" customWidth="1"/>
    <col min="5" max="5" width="12" customWidth="1"/>
    <col min="6" max="6" width="13" customWidth="1"/>
    <col min="7" max="7" width="15" customWidth="1"/>
    <col min="8" max="8" width="17" customWidth="1"/>
  </cols>
  <sheetData>
    <row r="1" spans="1:8" ht="33.950000000000003" customHeight="1" x14ac:dyDescent="0.25">
      <c r="A1" s="9" t="s">
        <v>196</v>
      </c>
      <c r="B1" s="8"/>
      <c r="C1" s="8"/>
      <c r="D1" s="8"/>
      <c r="E1" s="8"/>
      <c r="F1" s="8"/>
      <c r="G1" s="8"/>
      <c r="H1" s="8"/>
    </row>
    <row r="2" spans="1:8" x14ac:dyDescent="0.25">
      <c r="A2" s="21" t="s">
        <v>197</v>
      </c>
      <c r="B2" s="8"/>
      <c r="C2" s="8"/>
      <c r="D2" s="8"/>
      <c r="E2" s="8"/>
      <c r="F2" s="8"/>
      <c r="G2" s="8"/>
      <c r="H2" s="8"/>
    </row>
    <row r="4" spans="1:8" ht="32.1" customHeight="1" x14ac:dyDescent="0.25">
      <c r="A4" s="2" t="s">
        <v>163</v>
      </c>
      <c r="B4" s="2" t="s">
        <v>133</v>
      </c>
      <c r="C4" s="2" t="s">
        <v>198</v>
      </c>
      <c r="D4" s="2" t="s">
        <v>199</v>
      </c>
      <c r="E4" s="2" t="s">
        <v>179</v>
      </c>
      <c r="F4" s="2" t="s">
        <v>167</v>
      </c>
      <c r="G4" s="2" t="s">
        <v>200</v>
      </c>
      <c r="H4" s="2" t="s">
        <v>201</v>
      </c>
    </row>
    <row r="5" spans="1:8" x14ac:dyDescent="0.25">
      <c r="A5" s="1" t="s">
        <v>202</v>
      </c>
      <c r="B5" s="1">
        <v>500</v>
      </c>
      <c r="C5" s="3">
        <f>AVERAGE(B5:B5)</f>
        <v>500</v>
      </c>
      <c r="D5" s="3">
        <v>500</v>
      </c>
      <c r="E5" s="3">
        <f t="shared" ref="E5:E15" si="0">ABS(C5-D5)</f>
        <v>0</v>
      </c>
      <c r="F5" s="3" t="str">
        <f t="shared" ref="F5:F15" si="1">IF(E5&lt;0.0001,"CONFORME","REVISAR")</f>
        <v>CONFORME</v>
      </c>
      <c r="G5" s="3">
        <f>(C5-Parametros!$B$4)/(Parametros!$B$5-Parametros!$B$4)*100</f>
        <v>48.87585532746823</v>
      </c>
      <c r="H5" s="3">
        <f>Parametros!$B$6+G5/100*(Parametros!$B$7-Parametros!$B$6)</f>
        <v>48.87585532746823</v>
      </c>
    </row>
    <row r="6" spans="1:8" x14ac:dyDescent="0.25">
      <c r="A6" s="1" t="s">
        <v>203</v>
      </c>
      <c r="B6" s="1">
        <v>504</v>
      </c>
      <c r="C6" s="3">
        <f>AVERAGE(B5:B6)</f>
        <v>502</v>
      </c>
      <c r="D6" s="3">
        <v>502</v>
      </c>
      <c r="E6" s="3">
        <f t="shared" si="0"/>
        <v>0</v>
      </c>
      <c r="F6" s="3" t="str">
        <f t="shared" si="1"/>
        <v>CONFORME</v>
      </c>
      <c r="G6" s="3">
        <f>(C6-Parametros!$B$4)/(Parametros!$B$5-Parametros!$B$4)*100</f>
        <v>49.071358748778103</v>
      </c>
      <c r="H6" s="3">
        <f>Parametros!$B$6+G6/100*(Parametros!$B$7-Parametros!$B$6)</f>
        <v>49.071358748778103</v>
      </c>
    </row>
    <row r="7" spans="1:8" x14ac:dyDescent="0.25">
      <c r="A7" s="1" t="s">
        <v>204</v>
      </c>
      <c r="B7" s="1">
        <v>498</v>
      </c>
      <c r="C7" s="3">
        <f>AVERAGE(B5:B7)</f>
        <v>500.66666666666669</v>
      </c>
      <c r="D7" s="3">
        <v>500.66666670000001</v>
      </c>
      <c r="E7" s="3">
        <f t="shared" si="0"/>
        <v>3.3333321880490985E-8</v>
      </c>
      <c r="F7" s="3" t="str">
        <f t="shared" si="1"/>
        <v>CONFORME</v>
      </c>
      <c r="G7" s="3">
        <f>(C7-Parametros!$B$4)/(Parametros!$B$5-Parametros!$B$4)*100</f>
        <v>48.941023134571523</v>
      </c>
      <c r="H7" s="3">
        <f>Parametros!$B$6+G7/100*(Parametros!$B$7-Parametros!$B$6)</f>
        <v>48.941023134571523</v>
      </c>
    </row>
    <row r="8" spans="1:8" x14ac:dyDescent="0.25">
      <c r="A8" s="1" t="s">
        <v>205</v>
      </c>
      <c r="B8" s="1">
        <v>502</v>
      </c>
      <c r="C8" s="3">
        <f>AVERAGE(B5:B8)</f>
        <v>501</v>
      </c>
      <c r="D8" s="3">
        <v>501</v>
      </c>
      <c r="E8" s="3">
        <f t="shared" si="0"/>
        <v>0</v>
      </c>
      <c r="F8" s="3" t="str">
        <f t="shared" si="1"/>
        <v>CONFORME</v>
      </c>
      <c r="G8" s="3">
        <f>(C8-Parametros!$B$4)/(Parametros!$B$5-Parametros!$B$4)*100</f>
        <v>48.97360703812317</v>
      </c>
      <c r="H8" s="3">
        <f>Parametros!$B$6+G8/100*(Parametros!$B$7-Parametros!$B$6)</f>
        <v>48.97360703812317</v>
      </c>
    </row>
    <row r="9" spans="1:8" x14ac:dyDescent="0.25">
      <c r="A9" s="1" t="s">
        <v>206</v>
      </c>
      <c r="B9" s="1">
        <v>500</v>
      </c>
      <c r="C9" s="3">
        <f t="shared" ref="C9:C15" si="2">AVERAGE(B5:B9)</f>
        <v>500.8</v>
      </c>
      <c r="D9" s="3">
        <v>500.8</v>
      </c>
      <c r="E9" s="3">
        <f t="shared" si="0"/>
        <v>0</v>
      </c>
      <c r="F9" s="3" t="str">
        <f t="shared" si="1"/>
        <v>CONFORME</v>
      </c>
      <c r="G9" s="3">
        <f>(C9-Parametros!$B$4)/(Parametros!$B$5-Parametros!$B$4)*100</f>
        <v>48.954056695992179</v>
      </c>
      <c r="H9" s="3">
        <f>Parametros!$B$6+G9/100*(Parametros!$B$7-Parametros!$B$6)</f>
        <v>48.954056695992179</v>
      </c>
    </row>
    <row r="10" spans="1:8" x14ac:dyDescent="0.25">
      <c r="A10" s="1" t="s">
        <v>207</v>
      </c>
      <c r="B10" s="1">
        <v>620</v>
      </c>
      <c r="C10" s="3">
        <f t="shared" si="2"/>
        <v>524.79999999999995</v>
      </c>
      <c r="D10" s="3">
        <v>524.79999999999995</v>
      </c>
      <c r="E10" s="3">
        <f t="shared" si="0"/>
        <v>0</v>
      </c>
      <c r="F10" s="3" t="str">
        <f t="shared" si="1"/>
        <v>CONFORME</v>
      </c>
      <c r="G10" s="3">
        <f>(C10-Parametros!$B$4)/(Parametros!$B$5-Parametros!$B$4)*100</f>
        <v>51.300097751710652</v>
      </c>
      <c r="H10" s="3">
        <f>Parametros!$B$6+G10/100*(Parametros!$B$7-Parametros!$B$6)</f>
        <v>51.300097751710652</v>
      </c>
    </row>
    <row r="11" spans="1:8" x14ac:dyDescent="0.25">
      <c r="A11" s="1" t="s">
        <v>208</v>
      </c>
      <c r="B11" s="1">
        <v>504</v>
      </c>
      <c r="C11" s="3">
        <f t="shared" si="2"/>
        <v>524.79999999999995</v>
      </c>
      <c r="D11" s="3">
        <v>524.79999999999995</v>
      </c>
      <c r="E11" s="3">
        <f t="shared" si="0"/>
        <v>0</v>
      </c>
      <c r="F11" s="3" t="str">
        <f t="shared" si="1"/>
        <v>CONFORME</v>
      </c>
      <c r="G11" s="3">
        <f>(C11-Parametros!$B$4)/(Parametros!$B$5-Parametros!$B$4)*100</f>
        <v>51.300097751710652</v>
      </c>
      <c r="H11" s="3">
        <f>Parametros!$B$6+G11/100*(Parametros!$B$7-Parametros!$B$6)</f>
        <v>51.300097751710652</v>
      </c>
    </row>
    <row r="12" spans="1:8" x14ac:dyDescent="0.25">
      <c r="A12" s="1" t="s">
        <v>209</v>
      </c>
      <c r="B12" s="1">
        <v>498</v>
      </c>
      <c r="C12" s="3">
        <f t="shared" si="2"/>
        <v>524.79999999999995</v>
      </c>
      <c r="D12" s="3">
        <v>524.79999999999995</v>
      </c>
      <c r="E12" s="3">
        <f t="shared" si="0"/>
        <v>0</v>
      </c>
      <c r="F12" s="3" t="str">
        <f t="shared" si="1"/>
        <v>CONFORME</v>
      </c>
      <c r="G12" s="3">
        <f>(C12-Parametros!$B$4)/(Parametros!$B$5-Parametros!$B$4)*100</f>
        <v>51.300097751710652</v>
      </c>
      <c r="H12" s="3">
        <f>Parametros!$B$6+G12/100*(Parametros!$B$7-Parametros!$B$6)</f>
        <v>51.300097751710652</v>
      </c>
    </row>
    <row r="13" spans="1:8" x14ac:dyDescent="0.25">
      <c r="A13" s="1" t="s">
        <v>210</v>
      </c>
      <c r="B13" s="1">
        <v>502</v>
      </c>
      <c r="C13" s="3">
        <f t="shared" si="2"/>
        <v>524.79999999999995</v>
      </c>
      <c r="D13" s="3">
        <v>524.79999999999995</v>
      </c>
      <c r="E13" s="3">
        <f t="shared" si="0"/>
        <v>0</v>
      </c>
      <c r="F13" s="3" t="str">
        <f t="shared" si="1"/>
        <v>CONFORME</v>
      </c>
      <c r="G13" s="3">
        <f>(C13-Parametros!$B$4)/(Parametros!$B$5-Parametros!$B$4)*100</f>
        <v>51.300097751710652</v>
      </c>
      <c r="H13" s="3">
        <f>Parametros!$B$6+G13/100*(Parametros!$B$7-Parametros!$B$6)</f>
        <v>51.300097751710652</v>
      </c>
    </row>
    <row r="14" spans="1:8" x14ac:dyDescent="0.25">
      <c r="A14" s="1" t="s">
        <v>211</v>
      </c>
      <c r="B14" s="1">
        <v>500</v>
      </c>
      <c r="C14" s="3">
        <f t="shared" si="2"/>
        <v>524.79999999999995</v>
      </c>
      <c r="D14" s="3">
        <v>524.79999999999995</v>
      </c>
      <c r="E14" s="3">
        <f t="shared" si="0"/>
        <v>0</v>
      </c>
      <c r="F14" s="3" t="str">
        <f t="shared" si="1"/>
        <v>CONFORME</v>
      </c>
      <c r="G14" s="3">
        <f>(C14-Parametros!$B$4)/(Parametros!$B$5-Parametros!$B$4)*100</f>
        <v>51.300097751710652</v>
      </c>
      <c r="H14" s="3">
        <f>Parametros!$B$6+G14/100*(Parametros!$B$7-Parametros!$B$6)</f>
        <v>51.300097751710652</v>
      </c>
    </row>
    <row r="15" spans="1:8" x14ac:dyDescent="0.25">
      <c r="A15" s="1" t="s">
        <v>212</v>
      </c>
      <c r="B15" s="1">
        <v>500</v>
      </c>
      <c r="C15" s="3">
        <f t="shared" si="2"/>
        <v>500.8</v>
      </c>
      <c r="D15" s="3">
        <v>500.8</v>
      </c>
      <c r="E15" s="3">
        <f t="shared" si="0"/>
        <v>0</v>
      </c>
      <c r="F15" s="3" t="str">
        <f t="shared" si="1"/>
        <v>CONFORME</v>
      </c>
      <c r="G15" s="3">
        <f>(C15-Parametros!$B$4)/(Parametros!$B$5-Parametros!$B$4)*100</f>
        <v>48.954056695992179</v>
      </c>
      <c r="H15" s="3">
        <f>Parametros!$B$6+G15/100*(Parametros!$B$7-Parametros!$B$6)</f>
        <v>48.954056695992179</v>
      </c>
    </row>
  </sheetData>
  <mergeCells count="2">
    <mergeCell ref="A2:H2"/>
    <mergeCell ref="A1:H1"/>
  </mergeCells>
  <conditionalFormatting sqref="F5:F15">
    <cfRule type="expression" dxfId="9" priority="1">
      <formula>F5="CONFORME"</formula>
    </cfRule>
    <cfRule type="expression" dxfId="8" priority="2">
      <formula>F5="REVISAR"</formula>
    </cfRule>
  </conditionalFormatting>
  <pageMargins left="0.25" right="0.25" top="0.45" bottom="0.45" header="0.5" footer="0.5"/>
  <pageSetup fitToHeight="0" orientation="portrait"/>
  <headerFooter>
    <oddFooter>&amp;C&amp;8 &amp;K687386TP03 - Marcelo Marcolino | &amp;P de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I9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2" width="18" customWidth="1"/>
    <col min="3" max="3" width="11" customWidth="1"/>
    <col min="4" max="4" width="13" customWidth="1"/>
    <col min="5" max="5" width="17" customWidth="1"/>
    <col min="6" max="6" width="14" customWidth="1"/>
    <col min="7" max="7" width="17" customWidth="1"/>
    <col min="8" max="8" width="16" customWidth="1"/>
    <col min="9" max="9" width="13" customWidth="1"/>
  </cols>
  <sheetData>
    <row r="1" spans="1:9" ht="33.950000000000003" customHeight="1" x14ac:dyDescent="0.25">
      <c r="A1" s="9" t="s">
        <v>213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21" t="s">
        <v>214</v>
      </c>
      <c r="B2" s="8"/>
      <c r="C2" s="8"/>
      <c r="D2" s="8"/>
      <c r="E2" s="8"/>
      <c r="F2" s="8"/>
      <c r="G2" s="8"/>
      <c r="H2" s="8"/>
      <c r="I2" s="8"/>
    </row>
    <row r="4" spans="1:9" ht="32.1" customHeight="1" x14ac:dyDescent="0.25">
      <c r="A4" s="2" t="s">
        <v>163</v>
      </c>
      <c r="B4" s="2" t="s">
        <v>215</v>
      </c>
      <c r="C4" s="2" t="s">
        <v>216</v>
      </c>
      <c r="D4" s="2" t="s">
        <v>217</v>
      </c>
      <c r="E4" s="2" t="s">
        <v>154</v>
      </c>
      <c r="F4" s="2" t="s">
        <v>155</v>
      </c>
      <c r="G4" s="2" t="s">
        <v>218</v>
      </c>
      <c r="H4" s="2" t="s">
        <v>219</v>
      </c>
      <c r="I4" s="2" t="s">
        <v>167</v>
      </c>
    </row>
    <row r="5" spans="1:9" x14ac:dyDescent="0.25">
      <c r="A5" s="1" t="s">
        <v>220</v>
      </c>
      <c r="B5" s="3">
        <v>0</v>
      </c>
      <c r="C5" s="3">
        <f>(B5-Parametros!$B$6)/(Parametros!$B$7-Parametros!$B$6)*100</f>
        <v>0</v>
      </c>
      <c r="D5" s="3">
        <f>Parametros!$B$4+C5/100*(Parametros!$B$5-Parametros!$B$4)</f>
        <v>0</v>
      </c>
      <c r="E5" s="3">
        <f>Parametros!$B$8+C5/100*(Parametros!$B$9-Parametros!$B$8)</f>
        <v>4</v>
      </c>
      <c r="F5" s="3">
        <f>Parametros!$B$10+C5/100*(Parametros!$B$11-Parametros!$B$10)</f>
        <v>0</v>
      </c>
      <c r="G5" s="3">
        <f>Parametros!$B$6+((E5-Parametros!$B$8)/(Parametros!$B$9-Parametros!$B$8))*(Parametros!$B$7-Parametros!$B$6)</f>
        <v>0</v>
      </c>
      <c r="H5" s="3">
        <f>Parametros!$B$6+((F5-Parametros!$B$10)/(Parametros!$B$11-Parametros!$B$10))*(Parametros!$B$7-Parametros!$B$6)</f>
        <v>0</v>
      </c>
      <c r="I5" s="1" t="str">
        <f>IF(AND(ABS(G5-B5)&lt;0.0001,ABS(H5-B5)&lt;0.0001),"CONFORME","REVISAR")</f>
        <v>CONFORME</v>
      </c>
    </row>
    <row r="6" spans="1:9" x14ac:dyDescent="0.25">
      <c r="A6" s="1" t="s">
        <v>221</v>
      </c>
      <c r="B6" s="3">
        <v>25</v>
      </c>
      <c r="C6" s="3">
        <f>(B6-Parametros!$B$6)/(Parametros!$B$7-Parametros!$B$6)*100</f>
        <v>25</v>
      </c>
      <c r="D6" s="3">
        <f>Parametros!$B$4+C6/100*(Parametros!$B$5-Parametros!$B$4)</f>
        <v>255.75</v>
      </c>
      <c r="E6" s="3">
        <f>Parametros!$B$8+C6/100*(Parametros!$B$9-Parametros!$B$8)</f>
        <v>8</v>
      </c>
      <c r="F6" s="3">
        <f>Parametros!$B$10+C6/100*(Parametros!$B$11-Parametros!$B$10)</f>
        <v>2.5</v>
      </c>
      <c r="G6" s="3">
        <f>Parametros!$B$6+((E6-Parametros!$B$8)/(Parametros!$B$9-Parametros!$B$8))*(Parametros!$B$7-Parametros!$B$6)</f>
        <v>25</v>
      </c>
      <c r="H6" s="3">
        <f>Parametros!$B$6+((F6-Parametros!$B$10)/(Parametros!$B$11-Parametros!$B$10))*(Parametros!$B$7-Parametros!$B$6)</f>
        <v>25</v>
      </c>
      <c r="I6" s="1" t="str">
        <f>IF(AND(ABS(G6-B6)&lt;0.0001,ABS(H6-B6)&lt;0.0001),"CONFORME","REVISAR")</f>
        <v>CONFORME</v>
      </c>
    </row>
    <row r="7" spans="1:9" x14ac:dyDescent="0.25">
      <c r="A7" s="1" t="s">
        <v>222</v>
      </c>
      <c r="B7" s="3">
        <v>50</v>
      </c>
      <c r="C7" s="3">
        <f>(B7-Parametros!$B$6)/(Parametros!$B$7-Parametros!$B$6)*100</f>
        <v>50</v>
      </c>
      <c r="D7" s="3">
        <f>Parametros!$B$4+C7/100*(Parametros!$B$5-Parametros!$B$4)</f>
        <v>511.5</v>
      </c>
      <c r="E7" s="3">
        <f>Parametros!$B$8+C7/100*(Parametros!$B$9-Parametros!$B$8)</f>
        <v>12</v>
      </c>
      <c r="F7" s="3">
        <f>Parametros!$B$10+C7/100*(Parametros!$B$11-Parametros!$B$10)</f>
        <v>5</v>
      </c>
      <c r="G7" s="3">
        <f>Parametros!$B$6+((E7-Parametros!$B$8)/(Parametros!$B$9-Parametros!$B$8))*(Parametros!$B$7-Parametros!$B$6)</f>
        <v>50</v>
      </c>
      <c r="H7" s="3">
        <f>Parametros!$B$6+((F7-Parametros!$B$10)/(Parametros!$B$11-Parametros!$B$10))*(Parametros!$B$7-Parametros!$B$6)</f>
        <v>50</v>
      </c>
      <c r="I7" s="1" t="str">
        <f>IF(AND(ABS(G7-B7)&lt;0.0001,ABS(H7-B7)&lt;0.0001),"CONFORME","REVISAR")</f>
        <v>CONFORME</v>
      </c>
    </row>
    <row r="8" spans="1:9" x14ac:dyDescent="0.25">
      <c r="A8" s="1" t="s">
        <v>223</v>
      </c>
      <c r="B8" s="3">
        <v>75</v>
      </c>
      <c r="C8" s="3">
        <f>(B8-Parametros!$B$6)/(Parametros!$B$7-Parametros!$B$6)*100</f>
        <v>75</v>
      </c>
      <c r="D8" s="3">
        <f>Parametros!$B$4+C8/100*(Parametros!$B$5-Parametros!$B$4)</f>
        <v>767.25</v>
      </c>
      <c r="E8" s="3">
        <f>Parametros!$B$8+C8/100*(Parametros!$B$9-Parametros!$B$8)</f>
        <v>16</v>
      </c>
      <c r="F8" s="3">
        <f>Parametros!$B$10+C8/100*(Parametros!$B$11-Parametros!$B$10)</f>
        <v>7.5</v>
      </c>
      <c r="G8" s="3">
        <f>Parametros!$B$6+((E8-Parametros!$B$8)/(Parametros!$B$9-Parametros!$B$8))*(Parametros!$B$7-Parametros!$B$6)</f>
        <v>75</v>
      </c>
      <c r="H8" s="3">
        <f>Parametros!$B$6+((F8-Parametros!$B$10)/(Parametros!$B$11-Parametros!$B$10))*(Parametros!$B$7-Parametros!$B$6)</f>
        <v>75</v>
      </c>
      <c r="I8" s="1" t="str">
        <f>IF(AND(ABS(G8-B8)&lt;0.0001,ABS(H8-B8)&lt;0.0001),"CONFORME","REVISAR")</f>
        <v>CONFORME</v>
      </c>
    </row>
    <row r="9" spans="1:9" x14ac:dyDescent="0.25">
      <c r="A9" s="1" t="s">
        <v>224</v>
      </c>
      <c r="B9" s="3">
        <v>100</v>
      </c>
      <c r="C9" s="3">
        <f>(B9-Parametros!$B$6)/(Parametros!$B$7-Parametros!$B$6)*100</f>
        <v>100</v>
      </c>
      <c r="D9" s="3">
        <f>Parametros!$B$4+C9/100*(Parametros!$B$5-Parametros!$B$4)</f>
        <v>1023</v>
      </c>
      <c r="E9" s="3">
        <f>Parametros!$B$8+C9/100*(Parametros!$B$9-Parametros!$B$8)</f>
        <v>20</v>
      </c>
      <c r="F9" s="3">
        <f>Parametros!$B$10+C9/100*(Parametros!$B$11-Parametros!$B$10)</f>
        <v>10</v>
      </c>
      <c r="G9" s="3">
        <f>Parametros!$B$6+((E9-Parametros!$B$8)/(Parametros!$B$9-Parametros!$B$8))*(Parametros!$B$7-Parametros!$B$6)</f>
        <v>100</v>
      </c>
      <c r="H9" s="3">
        <f>Parametros!$B$6+((F9-Parametros!$B$10)/(Parametros!$B$11-Parametros!$B$10))*(Parametros!$B$7-Parametros!$B$6)</f>
        <v>100</v>
      </c>
      <c r="I9" s="1" t="str">
        <f>IF(AND(ABS(G9-B9)&lt;0.0001,ABS(H9-B9)&lt;0.0001),"CONFORME","REVISAR")</f>
        <v>CONFORME</v>
      </c>
    </row>
  </sheetData>
  <mergeCells count="2">
    <mergeCell ref="A1:I1"/>
    <mergeCell ref="A2:I2"/>
  </mergeCells>
  <conditionalFormatting sqref="I5:I9">
    <cfRule type="expression" dxfId="7" priority="1">
      <formula>I5="CONFORME"</formula>
    </cfRule>
    <cfRule type="expression" dxfId="6" priority="2">
      <formula>I5="REVISAR"</formula>
    </cfRule>
  </conditionalFormatting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I11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2" width="20" customWidth="1"/>
    <col min="3" max="3" width="15" customWidth="1"/>
    <col min="4" max="4" width="17" customWidth="1"/>
    <col min="5" max="5" width="16" customWidth="1"/>
    <col min="6" max="6" width="19" customWidth="1"/>
    <col min="7" max="7" width="22" customWidth="1"/>
    <col min="8" max="8" width="15" customWidth="1"/>
    <col min="9" max="9" width="13" customWidth="1"/>
  </cols>
  <sheetData>
    <row r="1" spans="1:9" ht="33.950000000000003" customHeight="1" x14ac:dyDescent="0.25">
      <c r="A1" s="9" t="s">
        <v>225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21" t="s">
        <v>226</v>
      </c>
      <c r="B2" s="8"/>
      <c r="C2" s="8"/>
      <c r="D2" s="8"/>
      <c r="E2" s="8"/>
      <c r="F2" s="8"/>
      <c r="G2" s="8"/>
      <c r="H2" s="8"/>
      <c r="I2" s="8"/>
    </row>
    <row r="4" spans="1:9" ht="32.1" customHeight="1" x14ac:dyDescent="0.25">
      <c r="A4" s="2" t="s">
        <v>163</v>
      </c>
      <c r="B4" s="2" t="s">
        <v>227</v>
      </c>
      <c r="C4" s="2" t="s">
        <v>177</v>
      </c>
      <c r="D4" s="2" t="s">
        <v>166</v>
      </c>
      <c r="E4" s="2" t="s">
        <v>165</v>
      </c>
      <c r="F4" s="2" t="s">
        <v>228</v>
      </c>
      <c r="G4" s="2" t="s">
        <v>229</v>
      </c>
      <c r="H4" s="2" t="s">
        <v>230</v>
      </c>
      <c r="I4" s="2" t="s">
        <v>167</v>
      </c>
    </row>
    <row r="5" spans="1:9" x14ac:dyDescent="0.25">
      <c r="A5" s="1" t="s">
        <v>231</v>
      </c>
      <c r="B5" s="3">
        <v>3.2</v>
      </c>
      <c r="C5" s="3">
        <f>(B5-Parametros!$B$8)/(Parametros!$B$9-Parametros!$B$8)*100</f>
        <v>-4.9999999999999991</v>
      </c>
      <c r="D5" s="1" t="str">
        <f>IF(OR(C5&lt;0,C5&gt;100),"FALHA",IF(C5&gt;=Parametros!$B$13,"PERIGO",IF(C5&gt;=Parametros!$B$12,"ATENCAO","NORMAL")))</f>
        <v>FALHA</v>
      </c>
      <c r="E5" s="1" t="s">
        <v>19</v>
      </c>
      <c r="F5" s="1" t="str">
        <f>IF(OR(B5&lt;Parametros!$B$8,B5&gt;Parametros!$B$9),"FALHA ELETRICA","FAIXA VALIDA")</f>
        <v>FALHA ELETRICA</v>
      </c>
      <c r="G5" s="1" t="s">
        <v>232</v>
      </c>
      <c r="H5" s="3">
        <f>Parametros!$B$10+C5/100*(Parametros!$B$11-Parametros!$B$10)</f>
        <v>-0.49999999999999989</v>
      </c>
      <c r="I5" s="1" t="str">
        <f t="shared" ref="I5:I11" si="0">IF(AND(D5=E5,F5=G5),"CONFORME","REVISAR")</f>
        <v>CONFORME</v>
      </c>
    </row>
    <row r="6" spans="1:9" x14ac:dyDescent="0.25">
      <c r="A6" s="1" t="s">
        <v>233</v>
      </c>
      <c r="B6" s="3">
        <v>4</v>
      </c>
      <c r="C6" s="3">
        <f>(B6-Parametros!$B$8)/(Parametros!$B$9-Parametros!$B$8)*100</f>
        <v>0</v>
      </c>
      <c r="D6" s="1" t="str">
        <f>IF(OR(C6&lt;0,C6&gt;100),"FALHA",IF(C6&gt;=Parametros!$B$13,"PERIGO",IF(C6&gt;=Parametros!$B$12,"ATENCAO","NORMAL")))</f>
        <v>NORMAL</v>
      </c>
      <c r="E6" s="1" t="s">
        <v>7</v>
      </c>
      <c r="F6" s="1" t="str">
        <f>IF(OR(B6&lt;Parametros!$B$8,B6&gt;Parametros!$B$9),"FALHA ELETRICA","FAIXA VALIDA")</f>
        <v>FAIXA VALIDA</v>
      </c>
      <c r="G6" s="1" t="s">
        <v>234</v>
      </c>
      <c r="H6" s="3">
        <f>Parametros!$B$10+C6/100*(Parametros!$B$11-Parametros!$B$10)</f>
        <v>0</v>
      </c>
      <c r="I6" s="1" t="str">
        <f t="shared" si="0"/>
        <v>CONFORME</v>
      </c>
    </row>
    <row r="7" spans="1:9" x14ac:dyDescent="0.25">
      <c r="A7" s="1" t="s">
        <v>235</v>
      </c>
      <c r="B7" s="3">
        <v>12</v>
      </c>
      <c r="C7" s="3">
        <f>(B7-Parametros!$B$8)/(Parametros!$B$9-Parametros!$B$8)*100</f>
        <v>50</v>
      </c>
      <c r="D7" s="1" t="str">
        <f>IF(OR(C7&lt;0,C7&gt;100),"FALHA",IF(C7&gt;=Parametros!$B$13,"PERIGO",IF(C7&gt;=Parametros!$B$12,"ATENCAO","NORMAL")))</f>
        <v>NORMAL</v>
      </c>
      <c r="E7" s="1" t="s">
        <v>7</v>
      </c>
      <c r="F7" s="1" t="str">
        <f>IF(OR(B7&lt;Parametros!$B$8,B7&gt;Parametros!$B$9),"FALHA ELETRICA","FAIXA VALIDA")</f>
        <v>FAIXA VALIDA</v>
      </c>
      <c r="G7" s="1" t="s">
        <v>234</v>
      </c>
      <c r="H7" s="3">
        <f>Parametros!$B$10+C7/100*(Parametros!$B$11-Parametros!$B$10)</f>
        <v>5</v>
      </c>
      <c r="I7" s="1" t="str">
        <f t="shared" si="0"/>
        <v>CONFORME</v>
      </c>
    </row>
    <row r="8" spans="1:9" x14ac:dyDescent="0.25">
      <c r="A8" s="1" t="s">
        <v>236</v>
      </c>
      <c r="B8" s="3">
        <v>15.2</v>
      </c>
      <c r="C8" s="3">
        <f>(B8-Parametros!$B$8)/(Parametros!$B$9-Parametros!$B$8)*100</f>
        <v>70</v>
      </c>
      <c r="D8" s="1" t="str">
        <f>IF(OR(C8&lt;0,C8&gt;100),"FALHA",IF(C8&gt;=Parametros!$B$13,"PERIGO",IF(C8&gt;=Parametros!$B$12,"ATENCAO","NORMAL")))</f>
        <v>ATENCAO</v>
      </c>
      <c r="E8" s="1" t="s">
        <v>11</v>
      </c>
      <c r="F8" s="1" t="str">
        <f>IF(OR(B8&lt;Parametros!$B$8,B8&gt;Parametros!$B$9),"FALHA ELETRICA","FAIXA VALIDA")</f>
        <v>FAIXA VALIDA</v>
      </c>
      <c r="G8" s="1" t="s">
        <v>234</v>
      </c>
      <c r="H8" s="3">
        <f>Parametros!$B$10+C8/100*(Parametros!$B$11-Parametros!$B$10)</f>
        <v>7</v>
      </c>
      <c r="I8" s="1" t="str">
        <f t="shared" si="0"/>
        <v>CONFORME</v>
      </c>
    </row>
    <row r="9" spans="1:9" x14ac:dyDescent="0.25">
      <c r="A9" s="1" t="s">
        <v>237</v>
      </c>
      <c r="B9" s="3">
        <v>17.600000000000001</v>
      </c>
      <c r="C9" s="3">
        <f>(B9-Parametros!$B$8)/(Parametros!$B$9-Parametros!$B$8)*100</f>
        <v>85.000000000000014</v>
      </c>
      <c r="D9" s="1" t="str">
        <f>IF(OR(C9&lt;0,C9&gt;100),"FALHA",IF(C9&gt;=Parametros!$B$13,"PERIGO",IF(C9&gt;=Parametros!$B$12,"ATENCAO","NORMAL")))</f>
        <v>PERIGO</v>
      </c>
      <c r="E9" s="1" t="s">
        <v>15</v>
      </c>
      <c r="F9" s="1" t="str">
        <f>IF(OR(B9&lt;Parametros!$B$8,B9&gt;Parametros!$B$9),"FALHA ELETRICA","FAIXA VALIDA")</f>
        <v>FAIXA VALIDA</v>
      </c>
      <c r="G9" s="1" t="s">
        <v>234</v>
      </c>
      <c r="H9" s="3">
        <f>Parametros!$B$10+C9/100*(Parametros!$B$11-Parametros!$B$10)</f>
        <v>8.5</v>
      </c>
      <c r="I9" s="1" t="str">
        <f t="shared" si="0"/>
        <v>CONFORME</v>
      </c>
    </row>
    <row r="10" spans="1:9" x14ac:dyDescent="0.25">
      <c r="A10" s="1" t="s">
        <v>238</v>
      </c>
      <c r="B10" s="3">
        <v>20</v>
      </c>
      <c r="C10" s="3">
        <f>(B10-Parametros!$B$8)/(Parametros!$B$9-Parametros!$B$8)*100</f>
        <v>100</v>
      </c>
      <c r="D10" s="1" t="str">
        <f>IF(OR(C10&lt;0,C10&gt;100),"FALHA",IF(C10&gt;=Parametros!$B$13,"PERIGO",IF(C10&gt;=Parametros!$B$12,"ATENCAO","NORMAL")))</f>
        <v>PERIGO</v>
      </c>
      <c r="E10" s="1" t="s">
        <v>15</v>
      </c>
      <c r="F10" s="1" t="str">
        <f>IF(OR(B10&lt;Parametros!$B$8,B10&gt;Parametros!$B$9),"FALHA ELETRICA","FAIXA VALIDA")</f>
        <v>FAIXA VALIDA</v>
      </c>
      <c r="G10" s="1" t="s">
        <v>234</v>
      </c>
      <c r="H10" s="3">
        <f>Parametros!$B$10+C10/100*(Parametros!$B$11-Parametros!$B$10)</f>
        <v>10</v>
      </c>
      <c r="I10" s="1" t="str">
        <f t="shared" si="0"/>
        <v>CONFORME</v>
      </c>
    </row>
    <row r="11" spans="1:9" x14ac:dyDescent="0.25">
      <c r="A11" s="1" t="s">
        <v>239</v>
      </c>
      <c r="B11" s="3">
        <v>20.8</v>
      </c>
      <c r="C11" s="3">
        <f>(B11-Parametros!$B$8)/(Parametros!$B$9-Parametros!$B$8)*100</f>
        <v>105</v>
      </c>
      <c r="D11" s="1" t="str">
        <f>IF(OR(C11&lt;0,C11&gt;100),"FALHA",IF(C11&gt;=Parametros!$B$13,"PERIGO",IF(C11&gt;=Parametros!$B$12,"ATENCAO","NORMAL")))</f>
        <v>FALHA</v>
      </c>
      <c r="E11" s="1" t="s">
        <v>19</v>
      </c>
      <c r="F11" s="1" t="str">
        <f>IF(OR(B11&lt;Parametros!$B$8,B11&gt;Parametros!$B$9),"FALHA ELETRICA","FAIXA VALIDA")</f>
        <v>FALHA ELETRICA</v>
      </c>
      <c r="G11" s="1" t="s">
        <v>232</v>
      </c>
      <c r="H11" s="3">
        <f>Parametros!$B$10+C11/100*(Parametros!$B$11-Parametros!$B$10)</f>
        <v>10.5</v>
      </c>
      <c r="I11" s="1" t="str">
        <f t="shared" si="0"/>
        <v>CONFORME</v>
      </c>
    </row>
  </sheetData>
  <mergeCells count="2">
    <mergeCell ref="A1:I1"/>
    <mergeCell ref="A2:I2"/>
  </mergeCells>
  <conditionalFormatting sqref="D5:D11">
    <cfRule type="expression" dxfId="5" priority="1">
      <formula>D5="NORMAL"</formula>
    </cfRule>
    <cfRule type="expression" dxfId="4" priority="2">
      <formula>D5="ATENCAO"</formula>
    </cfRule>
    <cfRule type="expression" dxfId="3" priority="3">
      <formula>D5="PERIGO"</formula>
    </cfRule>
    <cfRule type="expression" dxfId="2" priority="4">
      <formula>D5="FALHA"</formula>
    </cfRule>
  </conditionalFormatting>
  <conditionalFormatting sqref="I5:I11">
    <cfRule type="expression" dxfId="1" priority="5">
      <formula>I5="CONFORME"</formula>
    </cfRule>
    <cfRule type="expression" dxfId="0" priority="6">
      <formula>I5="REVISAR"</formula>
    </cfRule>
  </conditionalFormatting>
  <pageMargins left="0.25" right="0.25" top="0.45" bottom="0.45" header="0.5" footer="0.5"/>
  <pageSetup fitToHeight="0" orientation="landscape"/>
  <headerFooter>
    <oddFooter>&amp;C&amp;8 &amp;K687386TP03 - Marcelo Marcolino | &amp;P de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Resumo</vt:lpstr>
      <vt:lpstr>Instrucoes</vt:lpstr>
      <vt:lpstr>Parametros</vt:lpstr>
      <vt:lpstr>Tabela_ES</vt:lpstr>
      <vt:lpstr>Dados_Brutos</vt:lpstr>
      <vt:lpstr>Analise</vt:lpstr>
      <vt:lpstr>Testes_BQ</vt:lpstr>
      <vt:lpstr>Media_Movel</vt:lpstr>
      <vt:lpstr>Calculo_Inverso</vt:lpstr>
      <vt:lpstr>Diagnostico_4_20</vt:lpstr>
      <vt:lpstr>Analise!Area_de_impressao</vt:lpstr>
      <vt:lpstr>Calculo_Inverso!Area_de_impressao</vt:lpstr>
      <vt:lpstr>Dados_Brutos!Area_de_impressao</vt:lpstr>
      <vt:lpstr>Diagnostico_4_20!Area_de_impressao</vt:lpstr>
      <vt:lpstr>Instrucoes!Area_de_impressao</vt:lpstr>
      <vt:lpstr>Media_Movel!Area_de_impressao</vt:lpstr>
      <vt:lpstr>Parametros!Area_de_impressao</vt:lpstr>
      <vt:lpstr>Resumo!Area_de_impressao</vt:lpstr>
      <vt:lpstr>Tabela_ES!Area_de_impressao</vt:lpstr>
      <vt:lpstr>Testes_BQ!Area_de_impressao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TP03 - Sinais analogicos e digitais</dc:title>
  <dc:subject>Aquisicao, escalonamento, diagnostico e tendencia</dc:subject>
  <dc:creator>Marcelo Marcolino</dc:creator>
  <cp:keywords>TP03, Arduino, ADC, sinais, escalonamento</cp:keywords>
  <cp:lastModifiedBy>MARCELO ANTONIO PEREIRA MARCOLINO</cp:lastModifiedBy>
  <dcterms:created xsi:type="dcterms:W3CDTF">2026-09-07T17:55:02Z</dcterms:created>
  <dcterms:modified xsi:type="dcterms:W3CDTF">2026-09-08T02:09:26Z</dcterms:modified>
</cp:coreProperties>
</file>